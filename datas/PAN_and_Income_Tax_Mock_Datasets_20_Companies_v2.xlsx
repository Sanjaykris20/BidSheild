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bined Data" sheetId="1" state="visible" r:id="rId1"/>
    <sheet xmlns:r="http://schemas.openxmlformats.org/officeDocument/2006/relationships" name="PAN Details" sheetId="2" state="visible" r:id="rId2"/>
    <sheet xmlns:r="http://schemas.openxmlformats.org/officeDocument/2006/relationships" name="Income Tax Details" sheetId="3" state="visible" r:id="rId3"/>
    <sheet xmlns:r="http://schemas.openxmlformats.org/officeDocument/2006/relationships" name="20 Entity Profiles (Card View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2D3748"/>
      <sz val="9"/>
    </font>
    <font>
      <name val="Calibri"/>
      <color rgb="001A202C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2C7A7B"/>
        <bgColor rgb="002C7A7B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  <fill>
      <patternFill patternType="solid">
        <fgColor rgb="002D3748"/>
        <bgColor rgb="002D3748"/>
      </patternFill>
    </fill>
    <fill>
      <patternFill patternType="solid">
        <fgColor rgb="00EBF8FF"/>
        <bgColor rgb="00EBF8FF"/>
      </patternFill>
    </fill>
    <fill>
      <patternFill patternType="solid">
        <fgColor rgb="00E6FFFA"/>
        <bgColor rgb="00E6FFFA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4A5568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202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0" fontId="4" fillId="6" borderId="3" applyAlignment="1" pivotButton="0" quotePrefix="0" xfId="0">
      <alignment horizontal="center" vertical="center"/>
    </xf>
    <xf numFmtId="0" fontId="4" fillId="6" borderId="3" pivotButton="0" quotePrefix="0" xfId="0"/>
    <xf numFmtId="164" fontId="4" fillId="6" borderId="3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6" fillId="5" borderId="2" pivotButton="0" quotePrefix="0" xfId="0"/>
    <xf numFmtId="0" fontId="7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  <col width="16" customWidth="1" min="4" max="4"/>
    <col width="46" customWidth="1" min="5" max="5"/>
    <col width="16" customWidth="1" min="6" max="6"/>
    <col width="12" customWidth="1" min="7" max="7"/>
    <col width="20" customWidth="1" min="8" max="8"/>
    <col width="38" customWidth="1" min="9" max="9"/>
    <col width="19" customWidth="1" min="10" max="10"/>
    <col width="17" customWidth="1" min="11" max="11"/>
    <col width="15" customWidth="1" min="12" max="12"/>
    <col width="38" customWidth="1" min="13" max="13"/>
    <col width="17" customWidth="1" min="14" max="14"/>
    <col width="24" customWidth="1" min="15" max="15"/>
    <col width="22" customWidth="1" min="16" max="16"/>
    <col width="22" customWidth="1" min="17" max="17"/>
    <col width="22" customWidth="1" min="18" max="18"/>
    <col width="22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4" customWidth="1" min="25" max="25"/>
    <col width="22" customWidth="1" min="26" max="26"/>
  </cols>
  <sheetData>
    <row r="1" ht="28" customHeight="1">
      <c r="A1" s="1" t="inlineStr">
        <is>
          <t>DIRECT TAX MASTER DATABASE (PAN REGISTRATION &amp; INCOME TAX RETURN PROFILES - AY 2025-26)</t>
        </is>
      </c>
    </row>
    <row r="2" ht="22" customHeight="1">
      <c r="A2" s="2" t="inlineStr">
        <is>
          <t>PAN REGISTRATION DETAILS</t>
        </is>
      </c>
      <c r="I2" s="3" t="inlineStr">
        <is>
          <t>INCOME TAX RETURN &amp; COMPUTATION DETAILS (AY 2025-26 | PY 2024-25)</t>
        </is>
      </c>
    </row>
    <row r="3" ht="28" customHeight="1">
      <c r="A3" s="4" t="inlineStr">
        <is>
          <t>PAN</t>
        </is>
      </c>
      <c r="B3" s="4" t="inlineStr">
        <is>
          <t>Name as per PAN</t>
        </is>
      </c>
      <c r="C3" s="4" t="inlineStr">
        <is>
          <t>PAN Holder Type</t>
        </is>
      </c>
      <c r="D3" s="4" t="inlineStr">
        <is>
          <t>Date of Incorporation</t>
        </is>
      </c>
      <c r="E3" s="4" t="inlineStr">
        <is>
          <t>Address</t>
        </is>
      </c>
      <c r="F3" s="4" t="inlineStr">
        <is>
          <t>State</t>
        </is>
      </c>
      <c r="G3" s="4" t="inlineStr">
        <is>
          <t>Country</t>
        </is>
      </c>
      <c r="H3" s="4" t="inlineStr">
        <is>
          <t>Nature of Entity</t>
        </is>
      </c>
      <c r="I3" s="5" t="inlineStr">
        <is>
          <t>Assessee Name</t>
        </is>
      </c>
      <c r="J3" s="5" t="inlineStr">
        <is>
          <t>Assessment Year</t>
        </is>
      </c>
      <c r="K3" s="5" t="inlineStr">
        <is>
          <t>Previous Year</t>
        </is>
      </c>
      <c r="L3" s="5" t="inlineStr">
        <is>
          <t>Return Form</t>
        </is>
      </c>
      <c r="M3" s="5" t="inlineStr">
        <is>
          <t>Nature of Business</t>
        </is>
      </c>
      <c r="N3" s="5" t="inlineStr">
        <is>
          <t>Business Code</t>
        </is>
      </c>
      <c r="O3" s="5" t="inlineStr">
        <is>
          <t>Gross Total Income (INR)</t>
        </is>
      </c>
      <c r="P3" s="5" t="inlineStr">
        <is>
          <t>Total Income (INR)</t>
        </is>
      </c>
      <c r="Q3" s="5" t="inlineStr">
        <is>
          <t>Taxable Income (INR)</t>
        </is>
      </c>
      <c r="R3" s="5" t="inlineStr">
        <is>
          <t>Income Tax (INR)</t>
        </is>
      </c>
      <c r="S3" s="5" t="inlineStr">
        <is>
          <t>Health &amp; Education Cess (INR)</t>
        </is>
      </c>
      <c r="T3" s="5" t="inlineStr">
        <is>
          <t>Total Tax Liability (INR)</t>
        </is>
      </c>
      <c r="U3" s="5" t="inlineStr">
        <is>
          <t>TDS/TCS Credit (INR)</t>
        </is>
      </c>
      <c r="V3" s="5" t="inlineStr">
        <is>
          <t>Advance Tax Paid (INR)</t>
        </is>
      </c>
      <c r="W3" s="5" t="inlineStr">
        <is>
          <t>Self-Assessment Tax (INR)</t>
        </is>
      </c>
      <c r="X3" s="5" t="inlineStr">
        <is>
          <t>Return Filing Date</t>
        </is>
      </c>
      <c r="Y3" s="5" t="inlineStr">
        <is>
          <t>Authorized Signatory</t>
        </is>
      </c>
      <c r="Z3" s="5" t="inlineStr">
        <is>
          <t>Designation</t>
        </is>
      </c>
    </row>
    <row r="4" ht="20" customHeight="1">
      <c r="A4" s="6" t="inlineStr">
        <is>
          <t>AABCS1234F</t>
        </is>
      </c>
      <c r="B4" s="7" t="inlineStr">
        <is>
          <t>Sri Tech Solutions Private Limited</t>
        </is>
      </c>
      <c r="C4" s="7" t="inlineStr">
        <is>
          <t>Company</t>
        </is>
      </c>
      <c r="D4" s="6" t="inlineStr">
        <is>
          <t>10/03/2022</t>
        </is>
      </c>
      <c r="E4" s="7" t="inlineStr">
        <is>
          <t>25, Industrial Estate Road, Guindy, Chennai, Tamil Nadu – 600032</t>
        </is>
      </c>
      <c r="F4" s="7" t="inlineStr">
        <is>
          <t>Tamil Nadu</t>
        </is>
      </c>
      <c r="G4" s="6" t="inlineStr">
        <is>
          <t>India</t>
        </is>
      </c>
      <c r="H4" s="7" t="inlineStr">
        <is>
          <t>Domestic Company</t>
        </is>
      </c>
      <c r="I4" s="7" t="inlineStr">
        <is>
          <t>Sri Tech Solutions Private Limited</t>
        </is>
      </c>
      <c r="J4" s="6" t="inlineStr">
        <is>
          <t>2025–26</t>
        </is>
      </c>
      <c r="K4" s="6" t="inlineStr">
        <is>
          <t>2024–25</t>
        </is>
      </c>
      <c r="L4" s="6" t="inlineStr">
        <is>
          <t>ITR-6</t>
        </is>
      </c>
      <c r="M4" s="7" t="inlineStr">
        <is>
          <t>Computer Programming &amp; IT Services</t>
        </is>
      </c>
      <c r="N4" s="6" t="inlineStr">
        <is>
          <t>62011</t>
        </is>
      </c>
      <c r="O4" s="8" t="n">
        <v>87500000</v>
      </c>
      <c r="P4" s="8" t="n">
        <v>82000000</v>
      </c>
      <c r="Q4" s="8">
        <f>P4</f>
        <v/>
      </c>
      <c r="R4" s="8">
        <f>Q4*0.25</f>
        <v/>
      </c>
      <c r="S4" s="8">
        <f>R4*0.04</f>
        <v/>
      </c>
      <c r="T4" s="8">
        <f>R4+S4</f>
        <v/>
      </c>
      <c r="U4" s="8" t="n">
        <v>1850000</v>
      </c>
      <c r="V4" s="8" t="n">
        <v>18000000</v>
      </c>
      <c r="W4" s="8">
        <f>T4-U4-V4</f>
        <v/>
      </c>
      <c r="X4" s="6" t="inlineStr">
        <is>
          <t>30/09/2025</t>
        </is>
      </c>
      <c r="Y4" s="7" t="inlineStr">
        <is>
          <t>Arun Kumar</t>
        </is>
      </c>
      <c r="Z4" s="7" t="inlineStr">
        <is>
          <t>Managing Director</t>
        </is>
      </c>
    </row>
    <row r="5" ht="20" customHeight="1">
      <c r="A5" s="9" t="inlineStr">
        <is>
          <t>AAKFA5678K</t>
        </is>
      </c>
      <c r="B5" s="10" t="inlineStr">
        <is>
          <t>Aura Precision Engineering LLP</t>
        </is>
      </c>
      <c r="C5" s="10" t="inlineStr">
        <is>
          <t>Limited Liability Partnership</t>
        </is>
      </c>
      <c r="D5" s="9" t="inlineStr">
        <is>
          <t>14/07/2019</t>
        </is>
      </c>
      <c r="E5" s="10" t="inlineStr">
        <is>
          <t>Plot 44, MIDC Bhosari, Pune, Maharashtra – 411026</t>
        </is>
      </c>
      <c r="F5" s="10" t="inlineStr">
        <is>
          <t>Maharashtra</t>
        </is>
      </c>
      <c r="G5" s="9" t="inlineStr">
        <is>
          <t>India</t>
        </is>
      </c>
      <c r="H5" s="10" t="inlineStr">
        <is>
          <t>LLP / Firm</t>
        </is>
      </c>
      <c r="I5" s="10" t="inlineStr">
        <is>
          <t>Aura Precision Engineering LLP</t>
        </is>
      </c>
      <c r="J5" s="9" t="inlineStr">
        <is>
          <t>2025–26</t>
        </is>
      </c>
      <c r="K5" s="9" t="inlineStr">
        <is>
          <t>2024–25</t>
        </is>
      </c>
      <c r="L5" s="9" t="inlineStr">
        <is>
          <t>ITR-5</t>
        </is>
      </c>
      <c r="M5" s="10" t="inlineStr">
        <is>
          <t>Machining &amp; Precision Metal Engineering</t>
        </is>
      </c>
      <c r="N5" s="9" t="inlineStr">
        <is>
          <t>25920</t>
        </is>
      </c>
      <c r="O5" s="11" t="n">
        <v>152000000</v>
      </c>
      <c r="P5" s="11" t="n">
        <v>145000000</v>
      </c>
      <c r="Q5" s="11">
        <f>P5</f>
        <v/>
      </c>
      <c r="R5" s="11">
        <f>Q5*0.3</f>
        <v/>
      </c>
      <c r="S5" s="11">
        <f>R5*0.04</f>
        <v/>
      </c>
      <c r="T5" s="11">
        <f>R5+S5</f>
        <v/>
      </c>
      <c r="U5" s="11" t="n">
        <v>3200000</v>
      </c>
      <c r="V5" s="11" t="n">
        <v>40000000</v>
      </c>
      <c r="W5" s="11">
        <f>T5-U5-V5</f>
        <v/>
      </c>
      <c r="X5" s="9" t="inlineStr">
        <is>
          <t>15/10/2025</t>
        </is>
      </c>
      <c r="Y5" s="10" t="inlineStr">
        <is>
          <t>Rajesh Kulkarni</t>
        </is>
      </c>
      <c r="Z5" s="10" t="inlineStr">
        <is>
          <t>Designated Partner</t>
        </is>
      </c>
    </row>
    <row r="6" ht="20" customHeight="1">
      <c r="A6" s="6" t="inlineStr">
        <is>
          <t>AABCG4321H</t>
        </is>
      </c>
      <c r="B6" s="7" t="inlineStr">
        <is>
          <t>GreenRoot Organics Pvt Ltd</t>
        </is>
      </c>
      <c r="C6" s="7" t="inlineStr">
        <is>
          <t>Company</t>
        </is>
      </c>
      <c r="D6" s="6" t="inlineStr">
        <is>
          <t>05/11/2020</t>
        </is>
      </c>
      <c r="E6" s="7" t="inlineStr">
        <is>
          <t>12/A, Peenya Industrial Area 3rd Phase, Bengaluru, Karnataka – 560058</t>
        </is>
      </c>
      <c r="F6" s="7" t="inlineStr">
        <is>
          <t>Karnataka</t>
        </is>
      </c>
      <c r="G6" s="6" t="inlineStr">
        <is>
          <t>India</t>
        </is>
      </c>
      <c r="H6" s="7" t="inlineStr">
        <is>
          <t>Domestic Company</t>
        </is>
      </c>
      <c r="I6" s="7" t="inlineStr">
        <is>
          <t>GreenRoot Organics Pvt Ltd</t>
        </is>
      </c>
      <c r="J6" s="6" t="inlineStr">
        <is>
          <t>2025–26</t>
        </is>
      </c>
      <c r="K6" s="6" t="inlineStr">
        <is>
          <t>2024–25</t>
        </is>
      </c>
      <c r="L6" s="6" t="inlineStr">
        <is>
          <t>ITR-6</t>
        </is>
      </c>
      <c r="M6" s="7" t="inlineStr">
        <is>
          <t>Organic Food Processing &amp; Packaging</t>
        </is>
      </c>
      <c r="N6" s="6" t="inlineStr">
        <is>
          <t>10799</t>
        </is>
      </c>
      <c r="O6" s="8" t="n">
        <v>24000000</v>
      </c>
      <c r="P6" s="8" t="n">
        <v>21000000</v>
      </c>
      <c r="Q6" s="8">
        <f>P6</f>
        <v/>
      </c>
      <c r="R6" s="8">
        <f>Q6*0.25</f>
        <v/>
      </c>
      <c r="S6" s="8">
        <f>R6*0.04</f>
        <v/>
      </c>
      <c r="T6" s="8">
        <f>R6+S6</f>
        <v/>
      </c>
      <c r="U6" s="8" t="n">
        <v>450000</v>
      </c>
      <c r="V6" s="8" t="n">
        <v>4500000</v>
      </c>
      <c r="W6" s="8">
        <f>T6-U6-V6</f>
        <v/>
      </c>
      <c r="X6" s="6" t="inlineStr">
        <is>
          <t>28/09/2025</t>
        </is>
      </c>
      <c r="Y6" s="7" t="inlineStr">
        <is>
          <t>Venkatesh Rao</t>
        </is>
      </c>
      <c r="Z6" s="7" t="inlineStr">
        <is>
          <t>Director</t>
        </is>
      </c>
    </row>
    <row r="7" ht="20" customHeight="1">
      <c r="A7" s="9" t="inlineStr">
        <is>
          <t>BCEPV3456L</t>
        </is>
      </c>
      <c r="B7" s="10" t="inlineStr">
        <is>
          <t>Vibrant Polymers</t>
        </is>
      </c>
      <c r="C7" s="10" t="inlineStr">
        <is>
          <t>Individual / Proprietorship</t>
        </is>
      </c>
      <c r="D7" s="9" t="inlineStr">
        <is>
          <t>22/01/2018</t>
        </is>
      </c>
      <c r="E7" s="10" t="inlineStr">
        <is>
          <t>Shed 102, GIDC Vatva, Ahmedabad, Gujarat – 382445</t>
        </is>
      </c>
      <c r="F7" s="10" t="inlineStr">
        <is>
          <t>Gujarat</t>
        </is>
      </c>
      <c r="G7" s="9" t="inlineStr">
        <is>
          <t>India</t>
        </is>
      </c>
      <c r="H7" s="10" t="inlineStr">
        <is>
          <t>Individual / HUF</t>
        </is>
      </c>
      <c r="I7" s="10" t="inlineStr">
        <is>
          <t>Vibrant Polymers</t>
        </is>
      </c>
      <c r="J7" s="9" t="inlineStr">
        <is>
          <t>2025–26</t>
        </is>
      </c>
      <c r="K7" s="9" t="inlineStr">
        <is>
          <t>2024–25</t>
        </is>
      </c>
      <c r="L7" s="9" t="inlineStr">
        <is>
          <t>ITR-3</t>
        </is>
      </c>
      <c r="M7" s="10" t="inlineStr">
        <is>
          <t>Manufacture of Plastic &amp; Polymer Products</t>
        </is>
      </c>
      <c r="N7" s="9" t="inlineStr">
        <is>
          <t>22209</t>
        </is>
      </c>
      <c r="O7" s="11" t="n">
        <v>10500000</v>
      </c>
      <c r="P7" s="11" t="n">
        <v>9800000</v>
      </c>
      <c r="Q7" s="11">
        <f>P7</f>
        <v/>
      </c>
      <c r="R7" s="11">
        <f>Q7*0.3</f>
        <v/>
      </c>
      <c r="S7" s="11">
        <f>R7*0.04</f>
        <v/>
      </c>
      <c r="T7" s="11">
        <f>R7+S7</f>
        <v/>
      </c>
      <c r="U7" s="11" t="n">
        <v>210000</v>
      </c>
      <c r="V7" s="11" t="n">
        <v>2600000</v>
      </c>
      <c r="W7" s="11">
        <f>T7-U7-V7</f>
        <v/>
      </c>
      <c r="X7" s="9" t="inlineStr">
        <is>
          <t>25/10/2025</t>
        </is>
      </c>
      <c r="Y7" s="10" t="inlineStr">
        <is>
          <t>Vikram Patel</t>
        </is>
      </c>
      <c r="Z7" s="10" t="inlineStr">
        <is>
          <t>Proprietor</t>
        </is>
      </c>
    </row>
    <row r="8" ht="20" customHeight="1">
      <c r="A8" s="6" t="inlineStr">
        <is>
          <t>AABCN7890M</t>
        </is>
      </c>
      <c r="B8" s="7" t="inlineStr">
        <is>
          <t>NextGen Cloud Informatics Pvt Ltd</t>
        </is>
      </c>
      <c r="C8" s="7" t="inlineStr">
        <is>
          <t>Company</t>
        </is>
      </c>
      <c r="D8" s="6" t="inlineStr">
        <is>
          <t>18/06/2021</t>
        </is>
      </c>
      <c r="E8" s="7" t="inlineStr">
        <is>
          <t>B-14, Okhla Industrial Area Phase-II, New Delhi, Delhi – 110020</t>
        </is>
      </c>
      <c r="F8" s="7" t="inlineStr">
        <is>
          <t>Delhi</t>
        </is>
      </c>
      <c r="G8" s="6" t="inlineStr">
        <is>
          <t>India</t>
        </is>
      </c>
      <c r="H8" s="7" t="inlineStr">
        <is>
          <t>Domestic Company</t>
        </is>
      </c>
      <c r="I8" s="7" t="inlineStr">
        <is>
          <t>NextGen Cloud Informatics Pvt Ltd</t>
        </is>
      </c>
      <c r="J8" s="6" t="inlineStr">
        <is>
          <t>2025–26</t>
        </is>
      </c>
      <c r="K8" s="6" t="inlineStr">
        <is>
          <t>2024–25</t>
        </is>
      </c>
      <c r="L8" s="6" t="inlineStr">
        <is>
          <t>ITR-6</t>
        </is>
      </c>
      <c r="M8" s="7" t="inlineStr">
        <is>
          <t>Cloud Informatics &amp; IT Consultancy</t>
        </is>
      </c>
      <c r="N8" s="6" t="inlineStr">
        <is>
          <t>62020</t>
        </is>
      </c>
      <c r="O8" s="8" t="n">
        <v>19500000</v>
      </c>
      <c r="P8" s="8" t="n">
        <v>18000000</v>
      </c>
      <c r="Q8" s="8">
        <f>P8</f>
        <v/>
      </c>
      <c r="R8" s="8">
        <f>Q8*0.25</f>
        <v/>
      </c>
      <c r="S8" s="8">
        <f>R8*0.04</f>
        <v/>
      </c>
      <c r="T8" s="8">
        <f>R8+S8</f>
        <v/>
      </c>
      <c r="U8" s="8" t="n">
        <v>950000</v>
      </c>
      <c r="V8" s="8" t="n">
        <v>3500000</v>
      </c>
      <c r="W8" s="8">
        <f>T8-U8-V8</f>
        <v/>
      </c>
      <c r="X8" s="6" t="inlineStr">
        <is>
          <t>29/09/2025</t>
        </is>
      </c>
      <c r="Y8" s="7" t="inlineStr">
        <is>
          <t>Neha Sharma</t>
        </is>
      </c>
      <c r="Z8" s="7" t="inlineStr">
        <is>
          <t>Director</t>
        </is>
      </c>
    </row>
    <row r="9" ht="20" customHeight="1">
      <c r="A9" s="9" t="inlineStr">
        <is>
          <t>AAFFB2345P</t>
        </is>
      </c>
      <c r="B9" s="10" t="inlineStr">
        <is>
          <t>BioMed Lifesciences LLP</t>
        </is>
      </c>
      <c r="C9" s="10" t="inlineStr">
        <is>
          <t>Limited Liability Partnership</t>
        </is>
      </c>
      <c r="D9" s="9" t="inlineStr">
        <is>
          <t>09/09/2017</t>
        </is>
      </c>
      <c r="E9" s="10" t="inlineStr">
        <is>
          <t>Plot 18/B, Genome Valley, Shamirpet, Hyderabad, Telangana – 500078</t>
        </is>
      </c>
      <c r="F9" s="10" t="inlineStr">
        <is>
          <t>Telangana</t>
        </is>
      </c>
      <c r="G9" s="9" t="inlineStr">
        <is>
          <t>India</t>
        </is>
      </c>
      <c r="H9" s="10" t="inlineStr">
        <is>
          <t>LLP / Firm</t>
        </is>
      </c>
      <c r="I9" s="10" t="inlineStr">
        <is>
          <t>BioMed Lifesciences LLP</t>
        </is>
      </c>
      <c r="J9" s="9" t="inlineStr">
        <is>
          <t>2025–26</t>
        </is>
      </c>
      <c r="K9" s="9" t="inlineStr">
        <is>
          <t>2024–25</t>
        </is>
      </c>
      <c r="L9" s="9" t="inlineStr">
        <is>
          <t>ITR-5</t>
        </is>
      </c>
      <c r="M9" s="10" t="inlineStr">
        <is>
          <t>Pharmaceutical &amp; Biomedical Preparations</t>
        </is>
      </c>
      <c r="N9" s="9" t="inlineStr">
        <is>
          <t>21002</t>
        </is>
      </c>
      <c r="O9" s="11" t="n">
        <v>760000000</v>
      </c>
      <c r="P9" s="11" t="n">
        <v>720000000</v>
      </c>
      <c r="Q9" s="11">
        <f>P9</f>
        <v/>
      </c>
      <c r="R9" s="11">
        <f>Q9*0.3</f>
        <v/>
      </c>
      <c r="S9" s="11">
        <f>R9*0.04</f>
        <v/>
      </c>
      <c r="T9" s="11">
        <f>R9+S9</f>
        <v/>
      </c>
      <c r="U9" s="11" t="n">
        <v>15500000</v>
      </c>
      <c r="V9" s="11" t="n">
        <v>195000000</v>
      </c>
      <c r="W9" s="11">
        <f>T9-U9-V9</f>
        <v/>
      </c>
      <c r="X9" s="9" t="inlineStr">
        <is>
          <t>20/10/2025</t>
        </is>
      </c>
      <c r="Y9" s="10" t="inlineStr">
        <is>
          <t>Dr. Suresh Reddy</t>
        </is>
      </c>
      <c r="Z9" s="10" t="inlineStr">
        <is>
          <t>Managing Partner</t>
        </is>
      </c>
    </row>
    <row r="10" ht="20" customHeight="1">
      <c r="A10" s="6" t="inlineStr">
        <is>
          <t>AAAFB9876C</t>
        </is>
      </c>
      <c r="B10" s="7" t="inlineStr">
        <is>
          <t>Bengal Loom &amp; Crafts</t>
        </is>
      </c>
      <c r="C10" s="7" t="inlineStr">
        <is>
          <t>Partnership Firm</t>
        </is>
      </c>
      <c r="D10" s="6" t="inlineStr">
        <is>
          <t>11/02/2015</t>
        </is>
      </c>
      <c r="E10" s="7" t="inlineStr">
        <is>
          <t>78, Grand Trunk Road, Bally, Howrah, West Bengal – 711201</t>
        </is>
      </c>
      <c r="F10" s="7" t="inlineStr">
        <is>
          <t>West Bengal</t>
        </is>
      </c>
      <c r="G10" s="6" t="inlineStr">
        <is>
          <t>India</t>
        </is>
      </c>
      <c r="H10" s="7" t="inlineStr">
        <is>
          <t>Partnership Firm</t>
        </is>
      </c>
      <c r="I10" s="7" t="inlineStr">
        <is>
          <t>Bengal Loom &amp; Crafts</t>
        </is>
      </c>
      <c r="J10" s="6" t="inlineStr">
        <is>
          <t>2025–26</t>
        </is>
      </c>
      <c r="K10" s="6" t="inlineStr">
        <is>
          <t>2024–25</t>
        </is>
      </c>
      <c r="L10" s="6" t="inlineStr">
        <is>
          <t>ITR-5</t>
        </is>
      </c>
      <c r="M10" s="7" t="inlineStr">
        <is>
          <t>Manufacture of Woven Cotton Fabrics</t>
        </is>
      </c>
      <c r="N10" s="6" t="inlineStr">
        <is>
          <t>13121</t>
        </is>
      </c>
      <c r="O10" s="8" t="n">
        <v>13500000</v>
      </c>
      <c r="P10" s="8" t="n">
        <v>12500000</v>
      </c>
      <c r="Q10" s="8">
        <f>P10</f>
        <v/>
      </c>
      <c r="R10" s="8">
        <f>Q10*0.3</f>
        <v/>
      </c>
      <c r="S10" s="8">
        <f>R10*0.04</f>
        <v/>
      </c>
      <c r="T10" s="8">
        <f>R10+S10</f>
        <v/>
      </c>
      <c r="U10" s="8" t="n">
        <v>280000</v>
      </c>
      <c r="V10" s="8" t="n">
        <v>3400000</v>
      </c>
      <c r="W10" s="8">
        <f>T10-U10-V10</f>
        <v/>
      </c>
      <c r="X10" s="6" t="inlineStr">
        <is>
          <t>18/10/2025</t>
        </is>
      </c>
      <c r="Y10" s="7" t="inlineStr">
        <is>
          <t>Subhash Chatterjee</t>
        </is>
      </c>
      <c r="Z10" s="7" t="inlineStr">
        <is>
          <t>Partner</t>
        </is>
      </c>
    </row>
    <row r="11" ht="20" customHeight="1">
      <c r="A11" s="9" t="inlineStr">
        <is>
          <t>BTYPS6543Q</t>
        </is>
      </c>
      <c r="B11" s="10" t="inlineStr">
        <is>
          <t>Shree Krishna Agro Implements</t>
        </is>
      </c>
      <c r="C11" s="10" t="inlineStr">
        <is>
          <t>Individual / Proprietorship</t>
        </is>
      </c>
      <c r="D11" s="9" t="inlineStr">
        <is>
          <t>01/04/2016</t>
        </is>
      </c>
      <c r="E11" s="10" t="inlineStr">
        <is>
          <t>Plot 88, Panki Industrial Area, Site 3, Kanpur, Uttar Pradesh – 208022</t>
        </is>
      </c>
      <c r="F11" s="10" t="inlineStr">
        <is>
          <t>Uttar Pradesh</t>
        </is>
      </c>
      <c r="G11" s="9" t="inlineStr">
        <is>
          <t>India</t>
        </is>
      </c>
      <c r="H11" s="10" t="inlineStr">
        <is>
          <t>Individual / HUF</t>
        </is>
      </c>
      <c r="I11" s="10" t="inlineStr">
        <is>
          <t>Shree Krishna Agro Implements</t>
        </is>
      </c>
      <c r="J11" s="9" t="inlineStr">
        <is>
          <t>2025–26</t>
        </is>
      </c>
      <c r="K11" s="9" t="inlineStr">
        <is>
          <t>2024–25</t>
        </is>
      </c>
      <c r="L11" s="9" t="inlineStr">
        <is>
          <t>ITR-3</t>
        </is>
      </c>
      <c r="M11" s="10" t="inlineStr">
        <is>
          <t>Agricultural &amp; Forestry Machinery Mfg</t>
        </is>
      </c>
      <c r="N11" s="9" t="inlineStr">
        <is>
          <t>28211</t>
        </is>
      </c>
      <c r="O11" s="11" t="n">
        <v>12000000</v>
      </c>
      <c r="P11" s="11" t="n">
        <v>11200000</v>
      </c>
      <c r="Q11" s="11">
        <f>P11</f>
        <v/>
      </c>
      <c r="R11" s="11">
        <f>Q11*0.3</f>
        <v/>
      </c>
      <c r="S11" s="11">
        <f>R11*0.04</f>
        <v/>
      </c>
      <c r="T11" s="11">
        <f>R11+S11</f>
        <v/>
      </c>
      <c r="U11" s="11" t="n">
        <v>240000</v>
      </c>
      <c r="V11" s="11" t="n">
        <v>3100000</v>
      </c>
      <c r="W11" s="11">
        <f>T11-U11-V11</f>
        <v/>
      </c>
      <c r="X11" s="9" t="inlineStr">
        <is>
          <t>26/10/2025</t>
        </is>
      </c>
      <c r="Y11" s="10" t="inlineStr">
        <is>
          <t>Pradeep Tripathi</t>
        </is>
      </c>
      <c r="Z11" s="10" t="inlineStr">
        <is>
          <t>Proprietor</t>
        </is>
      </c>
    </row>
    <row r="12" ht="20" customHeight="1">
      <c r="A12" s="6" t="inlineStr">
        <is>
          <t>AABCA4567D</t>
        </is>
      </c>
      <c r="B12" s="7" t="inlineStr">
        <is>
          <t>Apex Supply Chain Logistics Pvt Ltd</t>
        </is>
      </c>
      <c r="C12" s="7" t="inlineStr">
        <is>
          <t>Company</t>
        </is>
      </c>
      <c r="D12" s="6" t="inlineStr">
        <is>
          <t>30/08/2019</t>
        </is>
      </c>
      <c r="E12" s="7" t="inlineStr">
        <is>
          <t>Sector 37, Pace City II, Gurugram, Haryana – 122001</t>
        </is>
      </c>
      <c r="F12" s="7" t="inlineStr">
        <is>
          <t>Haryana</t>
        </is>
      </c>
      <c r="G12" s="6" t="inlineStr">
        <is>
          <t>India</t>
        </is>
      </c>
      <c r="H12" s="7" t="inlineStr">
        <is>
          <t>Domestic Company</t>
        </is>
      </c>
      <c r="I12" s="7" t="inlineStr">
        <is>
          <t>Apex Supply Chain Logistics Pvt Ltd</t>
        </is>
      </c>
      <c r="J12" s="6" t="inlineStr">
        <is>
          <t>2025–26</t>
        </is>
      </c>
      <c r="K12" s="6" t="inlineStr">
        <is>
          <t>2024–25</t>
        </is>
      </c>
      <c r="L12" s="6" t="inlineStr">
        <is>
          <t>ITR-6</t>
        </is>
      </c>
      <c r="M12" s="7" t="inlineStr">
        <is>
          <t>Freight Forwarding &amp; 3PL Logistics Services</t>
        </is>
      </c>
      <c r="N12" s="6" t="inlineStr">
        <is>
          <t>52292</t>
        </is>
      </c>
      <c r="O12" s="8" t="n">
        <v>178000000</v>
      </c>
      <c r="P12" s="8" t="n">
        <v>168000000</v>
      </c>
      <c r="Q12" s="8">
        <f>P12</f>
        <v/>
      </c>
      <c r="R12" s="8">
        <f>Q12*0.25</f>
        <v/>
      </c>
      <c r="S12" s="8">
        <f>R12*0.04</f>
        <v/>
      </c>
      <c r="T12" s="8">
        <f>R12+S12</f>
        <v/>
      </c>
      <c r="U12" s="8" t="n">
        <v>4800000</v>
      </c>
      <c r="V12" s="8" t="n">
        <v>37000000</v>
      </c>
      <c r="W12" s="8">
        <f>T12-U12-V12</f>
        <v/>
      </c>
      <c r="X12" s="6" t="inlineStr">
        <is>
          <t>27/09/2025</t>
        </is>
      </c>
      <c r="Y12" s="7" t="inlineStr">
        <is>
          <t>Manish Gupta</t>
        </is>
      </c>
      <c r="Z12" s="7" t="inlineStr">
        <is>
          <t>Managing Director</t>
        </is>
      </c>
    </row>
    <row r="13" ht="20" customHeight="1">
      <c r="A13" s="9" t="inlineStr">
        <is>
          <t>AAAFM3456J</t>
        </is>
      </c>
      <c r="B13" s="10" t="inlineStr">
        <is>
          <t>Marwar Marble &amp; Granites</t>
        </is>
      </c>
      <c r="C13" s="10" t="inlineStr">
        <is>
          <t>Partnership Firm</t>
        </is>
      </c>
      <c r="D13" s="9" t="inlineStr">
        <is>
          <t>15/10/2014</t>
        </is>
      </c>
      <c r="E13" s="10" t="inlineStr">
        <is>
          <t>RIICO Industrial Area, Sukher, Udaipur, Rajasthan – 313001</t>
        </is>
      </c>
      <c r="F13" s="10" t="inlineStr">
        <is>
          <t>Rajasthan</t>
        </is>
      </c>
      <c r="G13" s="9" t="inlineStr">
        <is>
          <t>India</t>
        </is>
      </c>
      <c r="H13" s="10" t="inlineStr">
        <is>
          <t>Partnership Firm</t>
        </is>
      </c>
      <c r="I13" s="10" t="inlineStr">
        <is>
          <t>Marwar Marble &amp; Granites</t>
        </is>
      </c>
      <c r="J13" s="9" t="inlineStr">
        <is>
          <t>2025–26</t>
        </is>
      </c>
      <c r="K13" s="9" t="inlineStr">
        <is>
          <t>2024–25</t>
        </is>
      </c>
      <c r="L13" s="9" t="inlineStr">
        <is>
          <t>ITR-5</t>
        </is>
      </c>
      <c r="M13" s="10" t="inlineStr">
        <is>
          <t>Cutting, Shaping &amp; Finishing of Stone</t>
        </is>
      </c>
      <c r="N13" s="9" t="inlineStr">
        <is>
          <t>23960</t>
        </is>
      </c>
      <c r="O13" s="11" t="n">
        <v>615000000</v>
      </c>
      <c r="P13" s="11" t="n">
        <v>580000000</v>
      </c>
      <c r="Q13" s="11">
        <f>P13</f>
        <v/>
      </c>
      <c r="R13" s="11">
        <f>Q13*0.3</f>
        <v/>
      </c>
      <c r="S13" s="11">
        <f>R13*0.04</f>
        <v/>
      </c>
      <c r="T13" s="11">
        <f>R13+S13</f>
        <v/>
      </c>
      <c r="U13" s="11" t="n">
        <v>8500000</v>
      </c>
      <c r="V13" s="11" t="n">
        <v>165000000</v>
      </c>
      <c r="W13" s="11">
        <f>T13-U13-V13</f>
        <v/>
      </c>
      <c r="X13" s="9" t="inlineStr">
        <is>
          <t>22/10/2025</t>
        </is>
      </c>
      <c r="Y13" s="10" t="inlineStr">
        <is>
          <t>Bhawani Singh</t>
        </is>
      </c>
      <c r="Z13" s="10" t="inlineStr">
        <is>
          <t>Partner</t>
        </is>
      </c>
    </row>
    <row r="14" ht="20" customHeight="1">
      <c r="A14" s="6" t="inlineStr">
        <is>
          <t>AABFC7891E</t>
        </is>
      </c>
      <c r="B14" s="7" t="inlineStr">
        <is>
          <t>Coastal Spice Extracts LLP</t>
        </is>
      </c>
      <c r="C14" s="7" t="inlineStr">
        <is>
          <t>Limited Liability Partnership</t>
        </is>
      </c>
      <c r="D14" s="6" t="inlineStr">
        <is>
          <t>12/12/2018</t>
        </is>
      </c>
      <c r="E14" s="7" t="inlineStr">
        <is>
          <t>Building 4/320, Edayar Industrial Area, Kochi, Kerala – 683502</t>
        </is>
      </c>
      <c r="F14" s="7" t="inlineStr">
        <is>
          <t>Kerala</t>
        </is>
      </c>
      <c r="G14" s="6" t="inlineStr">
        <is>
          <t>India</t>
        </is>
      </c>
      <c r="H14" s="7" t="inlineStr">
        <is>
          <t>LLP / Firm</t>
        </is>
      </c>
      <c r="I14" s="7" t="inlineStr">
        <is>
          <t>Coastal Spice Extracts LLP</t>
        </is>
      </c>
      <c r="J14" s="6" t="inlineStr">
        <is>
          <t>2025–26</t>
        </is>
      </c>
      <c r="K14" s="6" t="inlineStr">
        <is>
          <t>2024–25</t>
        </is>
      </c>
      <c r="L14" s="6" t="inlineStr">
        <is>
          <t>ITR-5</t>
        </is>
      </c>
      <c r="M14" s="7" t="inlineStr">
        <is>
          <t>Manufacture of Spices &amp; Oleoresins</t>
        </is>
      </c>
      <c r="N14" s="6" t="inlineStr">
        <is>
          <t>10795</t>
        </is>
      </c>
      <c r="O14" s="8" t="n">
        <v>192000000</v>
      </c>
      <c r="P14" s="8" t="n">
        <v>182000000</v>
      </c>
      <c r="Q14" s="8">
        <f>P14</f>
        <v/>
      </c>
      <c r="R14" s="8">
        <f>Q14*0.3</f>
        <v/>
      </c>
      <c r="S14" s="8">
        <f>R14*0.04</f>
        <v/>
      </c>
      <c r="T14" s="8">
        <f>R14+S14</f>
        <v/>
      </c>
      <c r="U14" s="8" t="n">
        <v>3600000</v>
      </c>
      <c r="V14" s="8" t="n">
        <v>50000000</v>
      </c>
      <c r="W14" s="8">
        <f>T14-U14-V14</f>
        <v/>
      </c>
      <c r="X14" s="6" t="inlineStr">
        <is>
          <t>24/10/2025</t>
        </is>
      </c>
      <c r="Y14" s="7" t="inlineStr">
        <is>
          <t>Mathew Varghese</t>
        </is>
      </c>
      <c r="Z14" s="7" t="inlineStr">
        <is>
          <t>Designated Partner</t>
        </is>
      </c>
    </row>
    <row r="15" ht="20" customHeight="1">
      <c r="A15" s="9" t="inlineStr">
        <is>
          <t>BCSPK1234N</t>
        </is>
      </c>
      <c r="B15" s="10" t="inlineStr">
        <is>
          <t>Kovai Automation Systems</t>
        </is>
      </c>
      <c r="C15" s="10" t="inlineStr">
        <is>
          <t>Individual / Proprietorship</t>
        </is>
      </c>
      <c r="D15" s="9" t="inlineStr">
        <is>
          <t>03/05/2021</t>
        </is>
      </c>
      <c r="E15" s="10" t="inlineStr">
        <is>
          <t>14, SIDCO Industrial Estate, Kurichi, Coimbatore, Tamil Nadu – 641021</t>
        </is>
      </c>
      <c r="F15" s="10" t="inlineStr">
        <is>
          <t>Tamil Nadu</t>
        </is>
      </c>
      <c r="G15" s="9" t="inlineStr">
        <is>
          <t>India</t>
        </is>
      </c>
      <c r="H15" s="10" t="inlineStr">
        <is>
          <t>Individual / HUF</t>
        </is>
      </c>
      <c r="I15" s="10" t="inlineStr">
        <is>
          <t>Kovai Automation Systems</t>
        </is>
      </c>
      <c r="J15" s="9" t="inlineStr">
        <is>
          <t>2025–26</t>
        </is>
      </c>
      <c r="K15" s="9" t="inlineStr">
        <is>
          <t>2024–25</t>
        </is>
      </c>
      <c r="L15" s="9" t="inlineStr">
        <is>
          <t>ITR-3</t>
        </is>
      </c>
      <c r="M15" s="10" t="inlineStr">
        <is>
          <t>Engineering Design &amp; System Integration</t>
        </is>
      </c>
      <c r="N15" s="9" t="inlineStr">
        <is>
          <t>71122</t>
        </is>
      </c>
      <c r="O15" s="11" t="n">
        <v>3700000</v>
      </c>
      <c r="P15" s="11" t="n">
        <v>3400000</v>
      </c>
      <c r="Q15" s="11">
        <f>P15</f>
        <v/>
      </c>
      <c r="R15" s="11">
        <f>Q15*0.3</f>
        <v/>
      </c>
      <c r="S15" s="11">
        <f>R15*0.04</f>
        <v/>
      </c>
      <c r="T15" s="11">
        <f>R15+S15</f>
        <v/>
      </c>
      <c r="U15" s="11" t="n">
        <v>95000</v>
      </c>
      <c r="V15" s="11" t="n">
        <v>880000</v>
      </c>
      <c r="W15" s="11">
        <f>T15-U15-V15</f>
        <v/>
      </c>
      <c r="X15" s="9" t="inlineStr">
        <is>
          <t>10/10/2025</t>
        </is>
      </c>
      <c r="Y15" s="10" t="inlineStr">
        <is>
          <t>K. Selvam</t>
        </is>
      </c>
      <c r="Z15" s="10" t="inlineStr">
        <is>
          <t>Proprietor</t>
        </is>
      </c>
    </row>
    <row r="16" ht="20" customHeight="1">
      <c r="A16" s="6" t="inlineStr">
        <is>
          <t>AABCN5678R</t>
        </is>
      </c>
      <c r="B16" s="7" t="inlineStr">
        <is>
          <t>Narmada Flour &amp; Agro Mills Pvt Ltd</t>
        </is>
      </c>
      <c r="C16" s="7" t="inlineStr">
        <is>
          <t>Company</t>
        </is>
      </c>
      <c r="D16" s="6" t="inlineStr">
        <is>
          <t>25/01/2017</t>
        </is>
      </c>
      <c r="E16" s="7" t="inlineStr">
        <is>
          <t>Sanwer Road Industrial Area, Sector C, Indore, Madhya Pradesh – 452015</t>
        </is>
      </c>
      <c r="F16" s="7" t="inlineStr">
        <is>
          <t>Madhya Pradesh</t>
        </is>
      </c>
      <c r="G16" s="6" t="inlineStr">
        <is>
          <t>India</t>
        </is>
      </c>
      <c r="H16" s="7" t="inlineStr">
        <is>
          <t>Domestic Company</t>
        </is>
      </c>
      <c r="I16" s="7" t="inlineStr">
        <is>
          <t>Narmada Flour &amp; Agro Mills Pvt Ltd</t>
        </is>
      </c>
      <c r="J16" s="6" t="inlineStr">
        <is>
          <t>2025–26</t>
        </is>
      </c>
      <c r="K16" s="6" t="inlineStr">
        <is>
          <t>2024–25</t>
        </is>
      </c>
      <c r="L16" s="6" t="inlineStr">
        <is>
          <t>ITR-6</t>
        </is>
      </c>
      <c r="M16" s="7" t="inlineStr">
        <is>
          <t>Flour Milling (Atta, Maida, Suji)</t>
        </is>
      </c>
      <c r="N16" s="6" t="inlineStr">
        <is>
          <t>10611</t>
        </is>
      </c>
      <c r="O16" s="8" t="n">
        <v>205000000</v>
      </c>
      <c r="P16" s="8" t="n">
        <v>195000000</v>
      </c>
      <c r="Q16" s="8">
        <f>P16</f>
        <v/>
      </c>
      <c r="R16" s="8">
        <f>Q16*0.25</f>
        <v/>
      </c>
      <c r="S16" s="8">
        <f>R16*0.04</f>
        <v/>
      </c>
      <c r="T16" s="8">
        <f>R16+S16</f>
        <v/>
      </c>
      <c r="U16" s="8" t="n">
        <v>3100000</v>
      </c>
      <c r="V16" s="8" t="n">
        <v>45000000</v>
      </c>
      <c r="W16" s="8">
        <f>T16-U16-V16</f>
        <v/>
      </c>
      <c r="X16" s="6" t="inlineStr">
        <is>
          <t>29/09/2025</t>
        </is>
      </c>
      <c r="Y16" s="7" t="inlineStr">
        <is>
          <t>Anand Agarwal</t>
        </is>
      </c>
      <c r="Z16" s="7" t="inlineStr">
        <is>
          <t>Director</t>
        </is>
      </c>
    </row>
    <row r="17" ht="20" customHeight="1">
      <c r="A17" s="9" t="inlineStr">
        <is>
          <t>AAAFB6789S</t>
        </is>
      </c>
      <c r="B17" s="10" t="inlineStr">
        <is>
          <t>Bedi Sports Goods Manufacturing Co</t>
        </is>
      </c>
      <c r="C17" s="10" t="inlineStr">
        <is>
          <t>Partnership Firm</t>
        </is>
      </c>
      <c r="D17" s="9" t="inlineStr">
        <is>
          <t>19/08/2013</t>
        </is>
      </c>
      <c r="E17" s="10" t="inlineStr">
        <is>
          <t>Leather Complex Road, Jalandhar, Punjab – 144021</t>
        </is>
      </c>
      <c r="F17" s="10" t="inlineStr">
        <is>
          <t>Punjab</t>
        </is>
      </c>
      <c r="G17" s="9" t="inlineStr">
        <is>
          <t>India</t>
        </is>
      </c>
      <c r="H17" s="10" t="inlineStr">
        <is>
          <t>Partnership Firm</t>
        </is>
      </c>
      <c r="I17" s="10" t="inlineStr">
        <is>
          <t>Bedi Sports Goods Manufacturing Co</t>
        </is>
      </c>
      <c r="J17" s="9" t="inlineStr">
        <is>
          <t>2025–26</t>
        </is>
      </c>
      <c r="K17" s="9" t="inlineStr">
        <is>
          <t>2024–25</t>
        </is>
      </c>
      <c r="L17" s="9" t="inlineStr">
        <is>
          <t>ITR-5</t>
        </is>
      </c>
      <c r="M17" s="10" t="inlineStr">
        <is>
          <t>Manufacture of Sports Goods &amp; Equipment</t>
        </is>
      </c>
      <c r="N17" s="9" t="inlineStr">
        <is>
          <t>32300</t>
        </is>
      </c>
      <c r="O17" s="11" t="n">
        <v>81000000</v>
      </c>
      <c r="P17" s="11" t="n">
        <v>76000000</v>
      </c>
      <c r="Q17" s="11">
        <f>P17</f>
        <v/>
      </c>
      <c r="R17" s="11">
        <f>Q17*0.3</f>
        <v/>
      </c>
      <c r="S17" s="11">
        <f>R17*0.04</f>
        <v/>
      </c>
      <c r="T17" s="11">
        <f>R17+S17</f>
        <v/>
      </c>
      <c r="U17" s="11" t="n">
        <v>1200000</v>
      </c>
      <c r="V17" s="11" t="n">
        <v>21500000</v>
      </c>
      <c r="W17" s="11">
        <f>T17-U17-V17</f>
        <v/>
      </c>
      <c r="X17" s="9" t="inlineStr">
        <is>
          <t>19/10/2025</t>
        </is>
      </c>
      <c r="Y17" s="10" t="inlineStr">
        <is>
          <t>Harpreet Singh Bedi</t>
        </is>
      </c>
      <c r="Z17" s="10" t="inlineStr">
        <is>
          <t>Partner</t>
        </is>
      </c>
    </row>
    <row r="18" ht="20" customHeight="1">
      <c r="A18" s="6" t="inlineStr">
        <is>
          <t>BCDPK7890T</t>
        </is>
      </c>
      <c r="B18" s="7" t="inlineStr">
        <is>
          <t>Kalinga Metal Fabrication Works</t>
        </is>
      </c>
      <c r="C18" s="7" t="inlineStr">
        <is>
          <t>Individual / Proprietorship</t>
        </is>
      </c>
      <c r="D18" s="6" t="inlineStr">
        <is>
          <t>08/03/2018</t>
        </is>
      </c>
      <c r="E18" s="7" t="inlineStr">
        <is>
          <t>Jagpur Industrial Area, Cuttack, Odisha – 754021</t>
        </is>
      </c>
      <c r="F18" s="7" t="inlineStr">
        <is>
          <t>Odisha</t>
        </is>
      </c>
      <c r="G18" s="6" t="inlineStr">
        <is>
          <t>India</t>
        </is>
      </c>
      <c r="H18" s="7" t="inlineStr">
        <is>
          <t>Individual / HUF</t>
        </is>
      </c>
      <c r="I18" s="7" t="inlineStr">
        <is>
          <t>Kalinga Metal Fabrication Works</t>
        </is>
      </c>
      <c r="J18" s="6" t="inlineStr">
        <is>
          <t>2025–26</t>
        </is>
      </c>
      <c r="K18" s="6" t="inlineStr">
        <is>
          <t>2024–25</t>
        </is>
      </c>
      <c r="L18" s="6" t="inlineStr">
        <is>
          <t>ITR-3</t>
        </is>
      </c>
      <c r="M18" s="7" t="inlineStr">
        <is>
          <t>Doors, Windows &amp; Structural Metal Work</t>
        </is>
      </c>
      <c r="N18" s="6" t="inlineStr">
        <is>
          <t>25111</t>
        </is>
      </c>
      <c r="O18" s="8" t="n">
        <v>4100000</v>
      </c>
      <c r="P18" s="8" t="n">
        <v>3800000</v>
      </c>
      <c r="Q18" s="8">
        <f>P18</f>
        <v/>
      </c>
      <c r="R18" s="8">
        <f>Q18*0.3</f>
        <v/>
      </c>
      <c r="S18" s="8">
        <f>R18*0.04</f>
        <v/>
      </c>
      <c r="T18" s="8">
        <f>R18+S18</f>
        <v/>
      </c>
      <c r="U18" s="8" t="n">
        <v>85000</v>
      </c>
      <c r="V18" s="8" t="n">
        <v>1020000</v>
      </c>
      <c r="W18" s="8">
        <f>T18-U18-V18</f>
        <v/>
      </c>
      <c r="X18" s="6" t="inlineStr">
        <is>
          <t>12/10/2025</t>
        </is>
      </c>
      <c r="Y18" s="7" t="inlineStr">
        <is>
          <t>Debashis Mohapatra</t>
        </is>
      </c>
      <c r="Z18" s="7" t="inlineStr">
        <is>
          <t>Proprietor</t>
        </is>
      </c>
    </row>
    <row r="19" ht="20" customHeight="1">
      <c r="A19" s="9" t="inlineStr">
        <is>
          <t>AAAFS1234U</t>
        </is>
      </c>
      <c r="B19" s="10" t="inlineStr">
        <is>
          <t>Sri Balaji Cold Storage &amp; Warehousing</t>
        </is>
      </c>
      <c r="C19" s="10" t="inlineStr">
        <is>
          <t>Partnership Firm</t>
        </is>
      </c>
      <c r="D19" s="9" t="inlineStr">
        <is>
          <t>14/06/2016</t>
        </is>
      </c>
      <c r="E19" s="10" t="inlineStr">
        <is>
          <t>NH-16 Bypass Road, Guntur, Andhra Pradesh – 522019</t>
        </is>
      </c>
      <c r="F19" s="10" t="inlineStr">
        <is>
          <t>Andhra Pradesh</t>
        </is>
      </c>
      <c r="G19" s="9" t="inlineStr">
        <is>
          <t>India</t>
        </is>
      </c>
      <c r="H19" s="10" t="inlineStr">
        <is>
          <t>Partnership Firm</t>
        </is>
      </c>
      <c r="I19" s="10" t="inlineStr">
        <is>
          <t>Sri Balaji Cold Storage &amp; Warehousing</t>
        </is>
      </c>
      <c r="J19" s="9" t="inlineStr">
        <is>
          <t>2025–26</t>
        </is>
      </c>
      <c r="K19" s="9" t="inlineStr">
        <is>
          <t>2024–25</t>
        </is>
      </c>
      <c r="L19" s="9" t="inlineStr">
        <is>
          <t>ITR-5</t>
        </is>
      </c>
      <c r="M19" s="10" t="inlineStr">
        <is>
          <t>Storage &amp; Warehousing - Cold Storage</t>
        </is>
      </c>
      <c r="N19" s="9" t="inlineStr">
        <is>
          <t>52109</t>
        </is>
      </c>
      <c r="O19" s="11" t="n">
        <v>129000000</v>
      </c>
      <c r="P19" s="11" t="n">
        <v>121000000</v>
      </c>
      <c r="Q19" s="11">
        <f>P19</f>
        <v/>
      </c>
      <c r="R19" s="11">
        <f>Q19*0.3</f>
        <v/>
      </c>
      <c r="S19" s="11">
        <f>R19*0.04</f>
        <v/>
      </c>
      <c r="T19" s="11">
        <f>R19+S19</f>
        <v/>
      </c>
      <c r="U19" s="11" t="n">
        <v>2400000</v>
      </c>
      <c r="V19" s="11" t="n">
        <v>33500000</v>
      </c>
      <c r="W19" s="11">
        <f>T19-U19-V19</f>
        <v/>
      </c>
      <c r="X19" s="9" t="inlineStr">
        <is>
          <t>21/10/2025</t>
        </is>
      </c>
      <c r="Y19" s="10" t="inlineStr">
        <is>
          <t>K. Venkateshwarlu</t>
        </is>
      </c>
      <c r="Z19" s="10" t="inlineStr">
        <is>
          <t>Managing Partner</t>
        </is>
      </c>
    </row>
    <row r="20" ht="20" customHeight="1">
      <c r="A20" s="6" t="inlineStr">
        <is>
          <t>AABCZ9012V</t>
        </is>
      </c>
      <c r="B20" s="7" t="inlineStr">
        <is>
          <t>Zenith Cybernetics Pvt Ltd</t>
        </is>
      </c>
      <c r="C20" s="7" t="inlineStr">
        <is>
          <t>Company</t>
        </is>
      </c>
      <c r="D20" s="6" t="inlineStr">
        <is>
          <t>01/09/2022</t>
        </is>
      </c>
      <c r="E20" s="7" t="inlineStr">
        <is>
          <t>Plot 12, Rajiv Gandhi Chandigarh Technology Park, Chandigarh – 160101</t>
        </is>
      </c>
      <c r="F20" s="7" t="inlineStr">
        <is>
          <t>Chandigarh</t>
        </is>
      </c>
      <c r="G20" s="6" t="inlineStr">
        <is>
          <t>India</t>
        </is>
      </c>
      <c r="H20" s="7" t="inlineStr">
        <is>
          <t>Domestic Company</t>
        </is>
      </c>
      <c r="I20" s="7" t="inlineStr">
        <is>
          <t>Zenith Cybernetics Pvt Ltd</t>
        </is>
      </c>
      <c r="J20" s="6" t="inlineStr">
        <is>
          <t>2025–26</t>
        </is>
      </c>
      <c r="K20" s="6" t="inlineStr">
        <is>
          <t>2024–25</t>
        </is>
      </c>
      <c r="L20" s="6" t="inlineStr">
        <is>
          <t>ITR-6</t>
        </is>
      </c>
      <c r="M20" s="7" t="inlineStr">
        <is>
          <t>Information Technology &amp; Computer Services</t>
        </is>
      </c>
      <c r="N20" s="6" t="inlineStr">
        <is>
          <t>62099</t>
        </is>
      </c>
      <c r="O20" s="8" t="n">
        <v>26500000</v>
      </c>
      <c r="P20" s="8" t="n">
        <v>24000000</v>
      </c>
      <c r="Q20" s="8">
        <f>P20</f>
        <v/>
      </c>
      <c r="R20" s="8">
        <f>Q20*0.25</f>
        <v/>
      </c>
      <c r="S20" s="8">
        <f>R20*0.04</f>
        <v/>
      </c>
      <c r="T20" s="8">
        <f>R20+S20</f>
        <v/>
      </c>
      <c r="U20" s="8" t="n">
        <v>620000</v>
      </c>
      <c r="V20" s="8" t="n">
        <v>5200000</v>
      </c>
      <c r="W20" s="8">
        <f>T20-U20-V20</f>
        <v/>
      </c>
      <c r="X20" s="6" t="inlineStr">
        <is>
          <t>29/09/2025</t>
        </is>
      </c>
      <c r="Y20" s="7" t="inlineStr">
        <is>
          <t>Rohit Verma</t>
        </is>
      </c>
      <c r="Z20" s="7" t="inlineStr">
        <is>
          <t>Director</t>
        </is>
      </c>
    </row>
    <row r="21" ht="20" customHeight="1">
      <c r="A21" s="9" t="inlineStr">
        <is>
          <t>BDEPM4567W</t>
        </is>
      </c>
      <c r="B21" s="10" t="inlineStr">
        <is>
          <t>Magadh Dairy Products</t>
        </is>
      </c>
      <c r="C21" s="10" t="inlineStr">
        <is>
          <t>Individual / Proprietorship</t>
        </is>
      </c>
      <c r="D21" s="9" t="inlineStr">
        <is>
          <t>17/02/2019</t>
        </is>
      </c>
      <c r="E21" s="10" t="inlineStr">
        <is>
          <t>Fatuha Industrial Area, Patna, Bihar – 803201</t>
        </is>
      </c>
      <c r="F21" s="10" t="inlineStr">
        <is>
          <t>Bihar</t>
        </is>
      </c>
      <c r="G21" s="9" t="inlineStr">
        <is>
          <t>India</t>
        </is>
      </c>
      <c r="H21" s="10" t="inlineStr">
        <is>
          <t>Individual / HUF</t>
        </is>
      </c>
      <c r="I21" s="10" t="inlineStr">
        <is>
          <t>Magadh Dairy Products</t>
        </is>
      </c>
      <c r="J21" s="9" t="inlineStr">
        <is>
          <t>2025–26</t>
        </is>
      </c>
      <c r="K21" s="9" t="inlineStr">
        <is>
          <t>2024–25</t>
        </is>
      </c>
      <c r="L21" s="9" t="inlineStr">
        <is>
          <t>ITR-3</t>
        </is>
      </c>
      <c r="M21" s="10" t="inlineStr">
        <is>
          <t>Manufacture of Liquid Milk, Cream, Butter, Paneer</t>
        </is>
      </c>
      <c r="N21" s="9" t="inlineStr">
        <is>
          <t>10501</t>
        </is>
      </c>
      <c r="O21" s="11" t="n">
        <v>4450000</v>
      </c>
      <c r="P21" s="11" t="n">
        <v>4100000</v>
      </c>
      <c r="Q21" s="11">
        <f>P21</f>
        <v/>
      </c>
      <c r="R21" s="11">
        <f>Q21*0.3</f>
        <v/>
      </c>
      <c r="S21" s="11">
        <f>R21*0.04</f>
        <v/>
      </c>
      <c r="T21" s="11">
        <f>R21+S21</f>
        <v/>
      </c>
      <c r="U21" s="11" t="n">
        <v>90000</v>
      </c>
      <c r="V21" s="11" t="n">
        <v>1120000</v>
      </c>
      <c r="W21" s="11">
        <f>T21-U21-V21</f>
        <v/>
      </c>
      <c r="X21" s="9" t="inlineStr">
        <is>
          <t>14/10/2025</t>
        </is>
      </c>
      <c r="Y21" s="10" t="inlineStr">
        <is>
          <t>Manoj Kumar Yadav</t>
        </is>
      </c>
      <c r="Z21" s="10" t="inlineStr">
        <is>
          <t>Proprietor</t>
        </is>
      </c>
    </row>
    <row r="22" ht="20" customHeight="1">
      <c r="A22" s="6" t="inlineStr">
        <is>
          <t>AABCC3456X</t>
        </is>
      </c>
      <c r="B22" s="7" t="inlineStr">
        <is>
          <t>Chotanagpur Refractories Pvt Ltd</t>
        </is>
      </c>
      <c r="C22" s="7" t="inlineStr">
        <is>
          <t>Company</t>
        </is>
      </c>
      <c r="D22" s="6" t="inlineStr">
        <is>
          <t>20/11/2015</t>
        </is>
      </c>
      <c r="E22" s="7" t="inlineStr">
        <is>
          <t>Tupudana Industrial Area, Hatia, Ranchi, Jharkhand – 834003</t>
        </is>
      </c>
      <c r="F22" s="7" t="inlineStr">
        <is>
          <t>Jharkhand</t>
        </is>
      </c>
      <c r="G22" s="6" t="inlineStr">
        <is>
          <t>India</t>
        </is>
      </c>
      <c r="H22" s="7" t="inlineStr">
        <is>
          <t>Domestic Company</t>
        </is>
      </c>
      <c r="I22" s="7" t="inlineStr">
        <is>
          <t>Chotanagpur Refractories Pvt Ltd</t>
        </is>
      </c>
      <c r="J22" s="6" t="inlineStr">
        <is>
          <t>2025–26</t>
        </is>
      </c>
      <c r="K22" s="6" t="inlineStr">
        <is>
          <t>2024–25</t>
        </is>
      </c>
      <c r="L22" s="6" t="inlineStr">
        <is>
          <t>ITR-6</t>
        </is>
      </c>
      <c r="M22" s="7" t="inlineStr">
        <is>
          <t>Manufacture of Refractory Products</t>
        </is>
      </c>
      <c r="N22" s="6" t="inlineStr">
        <is>
          <t>23910</t>
        </is>
      </c>
      <c r="O22" s="8" t="n">
        <v>660000000</v>
      </c>
      <c r="P22" s="8" t="n">
        <v>625000000</v>
      </c>
      <c r="Q22" s="8">
        <f>P22</f>
        <v/>
      </c>
      <c r="R22" s="8">
        <f>Q22*0.25</f>
        <v/>
      </c>
      <c r="S22" s="8">
        <f>R22*0.04</f>
        <v/>
      </c>
      <c r="T22" s="8">
        <f>R22+S22</f>
        <v/>
      </c>
      <c r="U22" s="8" t="n">
        <v>11500000</v>
      </c>
      <c r="V22" s="8" t="n">
        <v>140000000</v>
      </c>
      <c r="W22" s="8">
        <f>T22-U22-V22</f>
        <v/>
      </c>
      <c r="X22" s="6" t="inlineStr">
        <is>
          <t>30/09/2025</t>
        </is>
      </c>
      <c r="Y22" s="7" t="inlineStr">
        <is>
          <t>Sanjay Banerjee</t>
        </is>
      </c>
      <c r="Z22" s="7" t="inlineStr">
        <is>
          <t>Director</t>
        </is>
      </c>
    </row>
    <row r="23" ht="20" customHeight="1">
      <c r="A23" s="9" t="inlineStr">
        <is>
          <t>AABFP8901Y</t>
        </is>
      </c>
      <c r="B23" s="10" t="inlineStr">
        <is>
          <t>Pragjyotish Tea Packaging LLP</t>
        </is>
      </c>
      <c r="C23" s="10" t="inlineStr">
        <is>
          <t>Limited Liability Partnership</t>
        </is>
      </c>
      <c r="D23" s="9" t="inlineStr">
        <is>
          <t>05/05/2017</t>
        </is>
      </c>
      <c r="E23" s="10" t="inlineStr">
        <is>
          <t>AIDC Complex, Amingaon, Guwahati, Assam – 781031</t>
        </is>
      </c>
      <c r="F23" s="10" t="inlineStr">
        <is>
          <t>Assam</t>
        </is>
      </c>
      <c r="G23" s="9" t="inlineStr">
        <is>
          <t>India</t>
        </is>
      </c>
      <c r="H23" s="10" t="inlineStr">
        <is>
          <t>LLP / Firm</t>
        </is>
      </c>
      <c r="I23" s="10" t="inlineStr">
        <is>
          <t>Pragjyotish Tea Packaging LLP</t>
        </is>
      </c>
      <c r="J23" s="9" t="inlineStr">
        <is>
          <t>2025–26</t>
        </is>
      </c>
      <c r="K23" s="9" t="inlineStr">
        <is>
          <t>2024–25</t>
        </is>
      </c>
      <c r="L23" s="9" t="inlineStr">
        <is>
          <t>ITR-5</t>
        </is>
      </c>
      <c r="M23" s="10" t="inlineStr">
        <is>
          <t>Tea Processing, Blending &amp; Packaging</t>
        </is>
      </c>
      <c r="N23" s="9" t="inlineStr">
        <is>
          <t>10792</t>
        </is>
      </c>
      <c r="O23" s="11" t="n">
        <v>160000000</v>
      </c>
      <c r="P23" s="11" t="n">
        <v>152000000</v>
      </c>
      <c r="Q23" s="11">
        <f>P23</f>
        <v/>
      </c>
      <c r="R23" s="11">
        <f>Q23*0.3</f>
        <v/>
      </c>
      <c r="S23" s="11">
        <f>R23*0.04</f>
        <v/>
      </c>
      <c r="T23" s="11">
        <f>R23+S23</f>
        <v/>
      </c>
      <c r="U23" s="11" t="n">
        <v>3400000</v>
      </c>
      <c r="V23" s="11" t="n">
        <v>42000000</v>
      </c>
      <c r="W23" s="11">
        <f>T23-U23-V23</f>
        <v/>
      </c>
      <c r="X23" s="9" t="inlineStr">
        <is>
          <t>23/10/2025</t>
        </is>
      </c>
      <c r="Y23" s="10" t="inlineStr">
        <is>
          <t>Pranab Barua</t>
        </is>
      </c>
      <c r="Z23" s="10" t="inlineStr">
        <is>
          <t>Designated Partner</t>
        </is>
      </c>
    </row>
    <row r="24" ht="22" customHeight="1">
      <c r="A24" s="12" t="inlineStr">
        <is>
          <t>TOTAL / SUMMARY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4">
        <f>SUM(O4:O23)</f>
        <v/>
      </c>
      <c r="P24" s="14">
        <f>SUM(P4:P23)</f>
        <v/>
      </c>
      <c r="Q24" s="14">
        <f>SUM(Q4:Q23)</f>
        <v/>
      </c>
      <c r="R24" s="14">
        <f>SUM(R4:R23)</f>
        <v/>
      </c>
      <c r="S24" s="14">
        <f>SUM(S4:S23)</f>
        <v/>
      </c>
      <c r="T24" s="14">
        <f>SUM(T4:T23)</f>
        <v/>
      </c>
      <c r="U24" s="14">
        <f>SUM(U4:U23)</f>
        <v/>
      </c>
      <c r="V24" s="14">
        <f>SUM(V4:V23)</f>
        <v/>
      </c>
      <c r="W24" s="14">
        <f>SUM(W4:W23)</f>
        <v/>
      </c>
      <c r="X24" s="13" t="n"/>
      <c r="Y24" s="13" t="n"/>
      <c r="Z24" s="13" t="n"/>
    </row>
  </sheetData>
  <mergeCells count="3">
    <mergeCell ref="I2:Y2"/>
    <mergeCell ref="A2:H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25" customWidth="1" min="3" max="3"/>
    <col width="18" customWidth="1" min="4" max="4"/>
    <col width="50" customWidth="1" min="5" max="5"/>
    <col width="16" customWidth="1" min="6" max="6"/>
    <col width="12" customWidth="1" min="7" max="7"/>
    <col width="22" customWidth="1" min="8" max="8"/>
  </cols>
  <sheetData>
    <row r="1" ht="26" customHeight="1">
      <c r="A1" s="15" t="inlineStr">
        <is>
          <t>PAN REGISTRATION MASTER DETAILS (20 COMPANIES)</t>
        </is>
      </c>
    </row>
    <row r="2" ht="24" customHeight="1">
      <c r="A2" s="4" t="inlineStr">
        <is>
          <t>PAN</t>
        </is>
      </c>
      <c r="B2" s="4" t="inlineStr">
        <is>
          <t>Name as per PAN</t>
        </is>
      </c>
      <c r="C2" s="4" t="inlineStr">
        <is>
          <t>PAN Holder Type</t>
        </is>
      </c>
      <c r="D2" s="4" t="inlineStr">
        <is>
          <t>Date of Incorporation</t>
        </is>
      </c>
      <c r="E2" s="4" t="inlineStr">
        <is>
          <t>Address</t>
        </is>
      </c>
      <c r="F2" s="4" t="inlineStr">
        <is>
          <t>State</t>
        </is>
      </c>
      <c r="G2" s="4" t="inlineStr">
        <is>
          <t>Country</t>
        </is>
      </c>
      <c r="H2" s="4" t="inlineStr">
        <is>
          <t>Nature of Entity</t>
        </is>
      </c>
    </row>
    <row r="3" ht="20" customHeight="1">
      <c r="A3" s="6" t="inlineStr">
        <is>
          <t>AABCS1234F</t>
        </is>
      </c>
      <c r="B3" s="7" t="inlineStr">
        <is>
          <t>Sri Tech Solutions Private Limited</t>
        </is>
      </c>
      <c r="C3" s="7" t="inlineStr">
        <is>
          <t>Company</t>
        </is>
      </c>
      <c r="D3" s="6" t="inlineStr">
        <is>
          <t>10/03/2022</t>
        </is>
      </c>
      <c r="E3" s="7" t="inlineStr">
        <is>
          <t>25, Industrial Estate Road, Guindy, Chennai, Tamil Nadu – 600032</t>
        </is>
      </c>
      <c r="F3" s="7" t="inlineStr">
        <is>
          <t>Tamil Nadu</t>
        </is>
      </c>
      <c r="G3" s="6" t="inlineStr">
        <is>
          <t>India</t>
        </is>
      </c>
      <c r="H3" s="7" t="inlineStr">
        <is>
          <t>Domestic Company</t>
        </is>
      </c>
    </row>
    <row r="4" ht="20" customHeight="1">
      <c r="A4" s="9" t="inlineStr">
        <is>
          <t>AAKFA5678K</t>
        </is>
      </c>
      <c r="B4" s="10" t="inlineStr">
        <is>
          <t>Aura Precision Engineering LLP</t>
        </is>
      </c>
      <c r="C4" s="10" t="inlineStr">
        <is>
          <t>Limited Liability Partnership</t>
        </is>
      </c>
      <c r="D4" s="9" t="inlineStr">
        <is>
          <t>14/07/2019</t>
        </is>
      </c>
      <c r="E4" s="10" t="inlineStr">
        <is>
          <t>Plot 44, MIDC Bhosari, Pune, Maharashtra – 411026</t>
        </is>
      </c>
      <c r="F4" s="10" t="inlineStr">
        <is>
          <t>Maharashtra</t>
        </is>
      </c>
      <c r="G4" s="9" t="inlineStr">
        <is>
          <t>India</t>
        </is>
      </c>
      <c r="H4" s="10" t="inlineStr">
        <is>
          <t>LLP / Firm</t>
        </is>
      </c>
    </row>
    <row r="5" ht="20" customHeight="1">
      <c r="A5" s="6" t="inlineStr">
        <is>
          <t>AABCG4321H</t>
        </is>
      </c>
      <c r="B5" s="7" t="inlineStr">
        <is>
          <t>GreenRoot Organics Pvt Ltd</t>
        </is>
      </c>
      <c r="C5" s="7" t="inlineStr">
        <is>
          <t>Company</t>
        </is>
      </c>
      <c r="D5" s="6" t="inlineStr">
        <is>
          <t>05/11/2020</t>
        </is>
      </c>
      <c r="E5" s="7" t="inlineStr">
        <is>
          <t>12/A, Peenya Industrial Area 3rd Phase, Bengaluru, Karnataka – 560058</t>
        </is>
      </c>
      <c r="F5" s="7" t="inlineStr">
        <is>
          <t>Karnataka</t>
        </is>
      </c>
      <c r="G5" s="6" t="inlineStr">
        <is>
          <t>India</t>
        </is>
      </c>
      <c r="H5" s="7" t="inlineStr">
        <is>
          <t>Domestic Company</t>
        </is>
      </c>
    </row>
    <row r="6" ht="20" customHeight="1">
      <c r="A6" s="9" t="inlineStr">
        <is>
          <t>BCEPV3456L</t>
        </is>
      </c>
      <c r="B6" s="10" t="inlineStr">
        <is>
          <t>Vibrant Polymers</t>
        </is>
      </c>
      <c r="C6" s="10" t="inlineStr">
        <is>
          <t>Individual / Proprietorship</t>
        </is>
      </c>
      <c r="D6" s="9" t="inlineStr">
        <is>
          <t>22/01/2018</t>
        </is>
      </c>
      <c r="E6" s="10" t="inlineStr">
        <is>
          <t>Shed 102, GIDC Vatva, Ahmedabad, Gujarat – 382445</t>
        </is>
      </c>
      <c r="F6" s="10" t="inlineStr">
        <is>
          <t>Gujarat</t>
        </is>
      </c>
      <c r="G6" s="9" t="inlineStr">
        <is>
          <t>India</t>
        </is>
      </c>
      <c r="H6" s="10" t="inlineStr">
        <is>
          <t>Individual / HUF</t>
        </is>
      </c>
    </row>
    <row r="7" ht="20" customHeight="1">
      <c r="A7" s="6" t="inlineStr">
        <is>
          <t>AABCN7890M</t>
        </is>
      </c>
      <c r="B7" s="7" t="inlineStr">
        <is>
          <t>NextGen Cloud Informatics Pvt Ltd</t>
        </is>
      </c>
      <c r="C7" s="7" t="inlineStr">
        <is>
          <t>Company</t>
        </is>
      </c>
      <c r="D7" s="6" t="inlineStr">
        <is>
          <t>18/06/2021</t>
        </is>
      </c>
      <c r="E7" s="7" t="inlineStr">
        <is>
          <t>B-14, Okhla Industrial Area Phase-II, New Delhi, Delhi – 110020</t>
        </is>
      </c>
      <c r="F7" s="7" t="inlineStr">
        <is>
          <t>Delhi</t>
        </is>
      </c>
      <c r="G7" s="6" t="inlineStr">
        <is>
          <t>India</t>
        </is>
      </c>
      <c r="H7" s="7" t="inlineStr">
        <is>
          <t>Domestic Company</t>
        </is>
      </c>
    </row>
    <row r="8" ht="20" customHeight="1">
      <c r="A8" s="9" t="inlineStr">
        <is>
          <t>AAFFB2345P</t>
        </is>
      </c>
      <c r="B8" s="10" t="inlineStr">
        <is>
          <t>BioMed Lifesciences LLP</t>
        </is>
      </c>
      <c r="C8" s="10" t="inlineStr">
        <is>
          <t>Limited Liability Partnership</t>
        </is>
      </c>
      <c r="D8" s="9" t="inlineStr">
        <is>
          <t>09/09/2017</t>
        </is>
      </c>
      <c r="E8" s="10" t="inlineStr">
        <is>
          <t>Plot 18/B, Genome Valley, Shamirpet, Hyderabad, Telangana – 500078</t>
        </is>
      </c>
      <c r="F8" s="10" t="inlineStr">
        <is>
          <t>Telangana</t>
        </is>
      </c>
      <c r="G8" s="9" t="inlineStr">
        <is>
          <t>India</t>
        </is>
      </c>
      <c r="H8" s="10" t="inlineStr">
        <is>
          <t>LLP / Firm</t>
        </is>
      </c>
    </row>
    <row r="9" ht="20" customHeight="1">
      <c r="A9" s="6" t="inlineStr">
        <is>
          <t>AAAFB9876C</t>
        </is>
      </c>
      <c r="B9" s="7" t="inlineStr">
        <is>
          <t>Bengal Loom &amp; Crafts</t>
        </is>
      </c>
      <c r="C9" s="7" t="inlineStr">
        <is>
          <t>Partnership Firm</t>
        </is>
      </c>
      <c r="D9" s="6" t="inlineStr">
        <is>
          <t>11/02/2015</t>
        </is>
      </c>
      <c r="E9" s="7" t="inlineStr">
        <is>
          <t>78, Grand Trunk Road, Bally, Howrah, West Bengal – 711201</t>
        </is>
      </c>
      <c r="F9" s="7" t="inlineStr">
        <is>
          <t>West Bengal</t>
        </is>
      </c>
      <c r="G9" s="6" t="inlineStr">
        <is>
          <t>India</t>
        </is>
      </c>
      <c r="H9" s="7" t="inlineStr">
        <is>
          <t>Partnership Firm</t>
        </is>
      </c>
    </row>
    <row r="10" ht="20" customHeight="1">
      <c r="A10" s="9" t="inlineStr">
        <is>
          <t>BTYPS6543Q</t>
        </is>
      </c>
      <c r="B10" s="10" t="inlineStr">
        <is>
          <t>Shree Krishna Agro Implements</t>
        </is>
      </c>
      <c r="C10" s="10" t="inlineStr">
        <is>
          <t>Individual / Proprietorship</t>
        </is>
      </c>
      <c r="D10" s="9" t="inlineStr">
        <is>
          <t>01/04/2016</t>
        </is>
      </c>
      <c r="E10" s="10" t="inlineStr">
        <is>
          <t>Plot 88, Panki Industrial Area, Site 3, Kanpur, Uttar Pradesh – 208022</t>
        </is>
      </c>
      <c r="F10" s="10" t="inlineStr">
        <is>
          <t>Uttar Pradesh</t>
        </is>
      </c>
      <c r="G10" s="9" t="inlineStr">
        <is>
          <t>India</t>
        </is>
      </c>
      <c r="H10" s="10" t="inlineStr">
        <is>
          <t>Individual / HUF</t>
        </is>
      </c>
    </row>
    <row r="11" ht="20" customHeight="1">
      <c r="A11" s="6" t="inlineStr">
        <is>
          <t>AABCA4567D</t>
        </is>
      </c>
      <c r="B11" s="7" t="inlineStr">
        <is>
          <t>Apex Supply Chain Logistics Pvt Ltd</t>
        </is>
      </c>
      <c r="C11" s="7" t="inlineStr">
        <is>
          <t>Company</t>
        </is>
      </c>
      <c r="D11" s="6" t="inlineStr">
        <is>
          <t>30/08/2019</t>
        </is>
      </c>
      <c r="E11" s="7" t="inlineStr">
        <is>
          <t>Sector 37, Pace City II, Gurugram, Haryana – 122001</t>
        </is>
      </c>
      <c r="F11" s="7" t="inlineStr">
        <is>
          <t>Haryana</t>
        </is>
      </c>
      <c r="G11" s="6" t="inlineStr">
        <is>
          <t>India</t>
        </is>
      </c>
      <c r="H11" s="7" t="inlineStr">
        <is>
          <t>Domestic Company</t>
        </is>
      </c>
    </row>
    <row r="12" ht="20" customHeight="1">
      <c r="A12" s="9" t="inlineStr">
        <is>
          <t>AAAFM3456J</t>
        </is>
      </c>
      <c r="B12" s="10" t="inlineStr">
        <is>
          <t>Marwar Marble &amp; Granites</t>
        </is>
      </c>
      <c r="C12" s="10" t="inlineStr">
        <is>
          <t>Partnership Firm</t>
        </is>
      </c>
      <c r="D12" s="9" t="inlineStr">
        <is>
          <t>15/10/2014</t>
        </is>
      </c>
      <c r="E12" s="10" t="inlineStr">
        <is>
          <t>RIICO Industrial Area, Sukher, Udaipur, Rajasthan – 313001</t>
        </is>
      </c>
      <c r="F12" s="10" t="inlineStr">
        <is>
          <t>Rajasthan</t>
        </is>
      </c>
      <c r="G12" s="9" t="inlineStr">
        <is>
          <t>India</t>
        </is>
      </c>
      <c r="H12" s="10" t="inlineStr">
        <is>
          <t>Partnership Firm</t>
        </is>
      </c>
    </row>
    <row r="13" ht="20" customHeight="1">
      <c r="A13" s="6" t="inlineStr">
        <is>
          <t>AABFC7891E</t>
        </is>
      </c>
      <c r="B13" s="7" t="inlineStr">
        <is>
          <t>Coastal Spice Extracts LLP</t>
        </is>
      </c>
      <c r="C13" s="7" t="inlineStr">
        <is>
          <t>Limited Liability Partnership</t>
        </is>
      </c>
      <c r="D13" s="6" t="inlineStr">
        <is>
          <t>12/12/2018</t>
        </is>
      </c>
      <c r="E13" s="7" t="inlineStr">
        <is>
          <t>Building 4/320, Edayar Industrial Area, Kochi, Kerala – 683502</t>
        </is>
      </c>
      <c r="F13" s="7" t="inlineStr">
        <is>
          <t>Kerala</t>
        </is>
      </c>
      <c r="G13" s="6" t="inlineStr">
        <is>
          <t>India</t>
        </is>
      </c>
      <c r="H13" s="7" t="inlineStr">
        <is>
          <t>LLP / Firm</t>
        </is>
      </c>
    </row>
    <row r="14" ht="20" customHeight="1">
      <c r="A14" s="9" t="inlineStr">
        <is>
          <t>BCSPK1234N</t>
        </is>
      </c>
      <c r="B14" s="10" t="inlineStr">
        <is>
          <t>Kovai Automation Systems</t>
        </is>
      </c>
      <c r="C14" s="10" t="inlineStr">
        <is>
          <t>Individual / Proprietorship</t>
        </is>
      </c>
      <c r="D14" s="9" t="inlineStr">
        <is>
          <t>03/05/2021</t>
        </is>
      </c>
      <c r="E14" s="10" t="inlineStr">
        <is>
          <t>14, SIDCO Industrial Estate, Kurichi, Coimbatore, Tamil Nadu – 641021</t>
        </is>
      </c>
      <c r="F14" s="10" t="inlineStr">
        <is>
          <t>Tamil Nadu</t>
        </is>
      </c>
      <c r="G14" s="9" t="inlineStr">
        <is>
          <t>India</t>
        </is>
      </c>
      <c r="H14" s="10" t="inlineStr">
        <is>
          <t>Individual / HUF</t>
        </is>
      </c>
    </row>
    <row r="15" ht="20" customHeight="1">
      <c r="A15" s="6" t="inlineStr">
        <is>
          <t>AABCN5678R</t>
        </is>
      </c>
      <c r="B15" s="7" t="inlineStr">
        <is>
          <t>Narmada Flour &amp; Agro Mills Pvt Ltd</t>
        </is>
      </c>
      <c r="C15" s="7" t="inlineStr">
        <is>
          <t>Company</t>
        </is>
      </c>
      <c r="D15" s="6" t="inlineStr">
        <is>
          <t>25/01/2017</t>
        </is>
      </c>
      <c r="E15" s="7" t="inlineStr">
        <is>
          <t>Sanwer Road Industrial Area, Sector C, Indore, Madhya Pradesh – 452015</t>
        </is>
      </c>
      <c r="F15" s="7" t="inlineStr">
        <is>
          <t>Madhya Pradesh</t>
        </is>
      </c>
      <c r="G15" s="6" t="inlineStr">
        <is>
          <t>India</t>
        </is>
      </c>
      <c r="H15" s="7" t="inlineStr">
        <is>
          <t>Domestic Company</t>
        </is>
      </c>
    </row>
    <row r="16" ht="20" customHeight="1">
      <c r="A16" s="9" t="inlineStr">
        <is>
          <t>AAAFB6789S</t>
        </is>
      </c>
      <c r="B16" s="10" t="inlineStr">
        <is>
          <t>Bedi Sports Goods Manufacturing Co</t>
        </is>
      </c>
      <c r="C16" s="10" t="inlineStr">
        <is>
          <t>Partnership Firm</t>
        </is>
      </c>
      <c r="D16" s="9" t="inlineStr">
        <is>
          <t>19/08/2013</t>
        </is>
      </c>
      <c r="E16" s="10" t="inlineStr">
        <is>
          <t>Leather Complex Road, Jalandhar, Punjab – 144021</t>
        </is>
      </c>
      <c r="F16" s="10" t="inlineStr">
        <is>
          <t>Punjab</t>
        </is>
      </c>
      <c r="G16" s="9" t="inlineStr">
        <is>
          <t>India</t>
        </is>
      </c>
      <c r="H16" s="10" t="inlineStr">
        <is>
          <t>Partnership Firm</t>
        </is>
      </c>
    </row>
    <row r="17" ht="20" customHeight="1">
      <c r="A17" s="6" t="inlineStr">
        <is>
          <t>BCDPK7890T</t>
        </is>
      </c>
      <c r="B17" s="7" t="inlineStr">
        <is>
          <t>Kalinga Metal Fabrication Works</t>
        </is>
      </c>
      <c r="C17" s="7" t="inlineStr">
        <is>
          <t>Individual / Proprietorship</t>
        </is>
      </c>
      <c r="D17" s="6" t="inlineStr">
        <is>
          <t>08/03/2018</t>
        </is>
      </c>
      <c r="E17" s="7" t="inlineStr">
        <is>
          <t>Jagpur Industrial Area, Cuttack, Odisha – 754021</t>
        </is>
      </c>
      <c r="F17" s="7" t="inlineStr">
        <is>
          <t>Odisha</t>
        </is>
      </c>
      <c r="G17" s="6" t="inlineStr">
        <is>
          <t>India</t>
        </is>
      </c>
      <c r="H17" s="7" t="inlineStr">
        <is>
          <t>Individual / HUF</t>
        </is>
      </c>
    </row>
    <row r="18" ht="20" customHeight="1">
      <c r="A18" s="9" t="inlineStr">
        <is>
          <t>AAAFS1234U</t>
        </is>
      </c>
      <c r="B18" s="10" t="inlineStr">
        <is>
          <t>Sri Balaji Cold Storage &amp; Warehousing</t>
        </is>
      </c>
      <c r="C18" s="10" t="inlineStr">
        <is>
          <t>Partnership Firm</t>
        </is>
      </c>
      <c r="D18" s="9" t="inlineStr">
        <is>
          <t>14/06/2016</t>
        </is>
      </c>
      <c r="E18" s="10" t="inlineStr">
        <is>
          <t>NH-16 Bypass Road, Guntur, Andhra Pradesh – 522019</t>
        </is>
      </c>
      <c r="F18" s="10" t="inlineStr">
        <is>
          <t>Andhra Pradesh</t>
        </is>
      </c>
      <c r="G18" s="9" t="inlineStr">
        <is>
          <t>India</t>
        </is>
      </c>
      <c r="H18" s="10" t="inlineStr">
        <is>
          <t>Partnership Firm</t>
        </is>
      </c>
    </row>
    <row r="19" ht="20" customHeight="1">
      <c r="A19" s="6" t="inlineStr">
        <is>
          <t>AABCZ9012V</t>
        </is>
      </c>
      <c r="B19" s="7" t="inlineStr">
        <is>
          <t>Zenith Cybernetics Pvt Ltd</t>
        </is>
      </c>
      <c r="C19" s="7" t="inlineStr">
        <is>
          <t>Company</t>
        </is>
      </c>
      <c r="D19" s="6" t="inlineStr">
        <is>
          <t>01/09/2022</t>
        </is>
      </c>
      <c r="E19" s="7" t="inlineStr">
        <is>
          <t>Plot 12, Rajiv Gandhi Chandigarh Technology Park, Chandigarh – 160101</t>
        </is>
      </c>
      <c r="F19" s="7" t="inlineStr">
        <is>
          <t>Chandigarh</t>
        </is>
      </c>
      <c r="G19" s="6" t="inlineStr">
        <is>
          <t>India</t>
        </is>
      </c>
      <c r="H19" s="7" t="inlineStr">
        <is>
          <t>Domestic Company</t>
        </is>
      </c>
    </row>
    <row r="20" ht="20" customHeight="1">
      <c r="A20" s="9" t="inlineStr">
        <is>
          <t>BDEPM4567W</t>
        </is>
      </c>
      <c r="B20" s="10" t="inlineStr">
        <is>
          <t>Magadh Dairy Products</t>
        </is>
      </c>
      <c r="C20" s="10" t="inlineStr">
        <is>
          <t>Individual / Proprietorship</t>
        </is>
      </c>
      <c r="D20" s="9" t="inlineStr">
        <is>
          <t>17/02/2019</t>
        </is>
      </c>
      <c r="E20" s="10" t="inlineStr">
        <is>
          <t>Fatuha Industrial Area, Patna, Bihar – 803201</t>
        </is>
      </c>
      <c r="F20" s="10" t="inlineStr">
        <is>
          <t>Bihar</t>
        </is>
      </c>
      <c r="G20" s="9" t="inlineStr">
        <is>
          <t>India</t>
        </is>
      </c>
      <c r="H20" s="10" t="inlineStr">
        <is>
          <t>Individual / HUF</t>
        </is>
      </c>
    </row>
    <row r="21" ht="20" customHeight="1">
      <c r="A21" s="6" t="inlineStr">
        <is>
          <t>AABCC3456X</t>
        </is>
      </c>
      <c r="B21" s="7" t="inlineStr">
        <is>
          <t>Chotanagpur Refractories Pvt Ltd</t>
        </is>
      </c>
      <c r="C21" s="7" t="inlineStr">
        <is>
          <t>Company</t>
        </is>
      </c>
      <c r="D21" s="6" t="inlineStr">
        <is>
          <t>20/11/2015</t>
        </is>
      </c>
      <c r="E21" s="7" t="inlineStr">
        <is>
          <t>Tupudana Industrial Area, Hatia, Ranchi, Jharkhand – 834003</t>
        </is>
      </c>
      <c r="F21" s="7" t="inlineStr">
        <is>
          <t>Jharkhand</t>
        </is>
      </c>
      <c r="G21" s="6" t="inlineStr">
        <is>
          <t>India</t>
        </is>
      </c>
      <c r="H21" s="7" t="inlineStr">
        <is>
          <t>Domestic Company</t>
        </is>
      </c>
    </row>
    <row r="22" ht="20" customHeight="1">
      <c r="A22" s="9" t="inlineStr">
        <is>
          <t>AABFP8901Y</t>
        </is>
      </c>
      <c r="B22" s="10" t="inlineStr">
        <is>
          <t>Pragjyotish Tea Packaging LLP</t>
        </is>
      </c>
      <c r="C22" s="10" t="inlineStr">
        <is>
          <t>Limited Liability Partnership</t>
        </is>
      </c>
      <c r="D22" s="9" t="inlineStr">
        <is>
          <t>05/05/2017</t>
        </is>
      </c>
      <c r="E22" s="10" t="inlineStr">
        <is>
          <t>AIDC Complex, Amingaon, Guwahati, Assam – 781031</t>
        </is>
      </c>
      <c r="F22" s="10" t="inlineStr">
        <is>
          <t>Assam</t>
        </is>
      </c>
      <c r="G22" s="9" t="inlineStr">
        <is>
          <t>India</t>
        </is>
      </c>
      <c r="H22" s="10" t="inlineStr">
        <is>
          <t>LLP / Firm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9" customWidth="1" min="3" max="3"/>
    <col width="17" customWidth="1" min="4" max="4"/>
    <col width="15" customWidth="1" min="5" max="5"/>
    <col width="22" customWidth="1" min="6" max="6"/>
    <col width="38" customWidth="1" min="7" max="7"/>
    <col width="17" customWidth="1" min="8" max="8"/>
    <col width="24" customWidth="1" min="9" max="9"/>
    <col width="22" customWidth="1" min="10" max="10"/>
    <col width="22" customWidth="1" min="11" max="11"/>
    <col width="22" customWidth="1" min="12" max="12"/>
    <col width="22" customWidth="1" min="13" max="13"/>
    <col width="24" customWidth="1" min="14" max="14"/>
    <col width="22" customWidth="1" min="15" max="15"/>
    <col width="22" customWidth="1" min="16" max="16"/>
    <col width="22" customWidth="1" min="17" max="17"/>
    <col width="22" customWidth="1" min="18" max="18"/>
    <col width="24" customWidth="1" min="19" max="19"/>
    <col width="22" customWidth="1" min="20" max="20"/>
  </cols>
  <sheetData>
    <row r="1" ht="26" customHeight="1">
      <c r="A1" s="16" t="inlineStr">
        <is>
          <t>INCOME TAX RETURN FILINGS &amp; COMPUTATION SCHEDULE (AY 2025–26 | PY 2024–25)</t>
        </is>
      </c>
    </row>
    <row r="2" ht="26" customHeight="1">
      <c r="A2" s="5" t="inlineStr">
        <is>
          <t>PAN</t>
        </is>
      </c>
      <c r="B2" s="5" t="inlineStr">
        <is>
          <t>Assessee Name</t>
        </is>
      </c>
      <c r="C2" s="5" t="inlineStr">
        <is>
          <t>Assessment Year</t>
        </is>
      </c>
      <c r="D2" s="5" t="inlineStr">
        <is>
          <t>Previous Year</t>
        </is>
      </c>
      <c r="E2" s="5" t="inlineStr">
        <is>
          <t>Return Form</t>
        </is>
      </c>
      <c r="F2" s="5" t="inlineStr">
        <is>
          <t>Nature of Entity</t>
        </is>
      </c>
      <c r="G2" s="5" t="inlineStr">
        <is>
          <t>Nature of Business</t>
        </is>
      </c>
      <c r="H2" s="5" t="inlineStr">
        <is>
          <t>Business Code</t>
        </is>
      </c>
      <c r="I2" s="5" t="inlineStr">
        <is>
          <t>Gross Total Income (INR)</t>
        </is>
      </c>
      <c r="J2" s="5" t="inlineStr">
        <is>
          <t>Total Income (INR)</t>
        </is>
      </c>
      <c r="K2" s="5" t="inlineStr">
        <is>
          <t>Taxable Income (INR)</t>
        </is>
      </c>
      <c r="L2" s="5" t="inlineStr">
        <is>
          <t>Income Tax (INR)</t>
        </is>
      </c>
      <c r="M2" s="5" t="inlineStr">
        <is>
          <t>Health &amp; Education Cess (INR)</t>
        </is>
      </c>
      <c r="N2" s="5" t="inlineStr">
        <is>
          <t>Total Tax Liability (INR)</t>
        </is>
      </c>
      <c r="O2" s="5" t="inlineStr">
        <is>
          <t>TDS/TCS Credit (INR)</t>
        </is>
      </c>
      <c r="P2" s="5" t="inlineStr">
        <is>
          <t>Advance Tax Paid (INR)</t>
        </is>
      </c>
      <c r="Q2" s="5" t="inlineStr">
        <is>
          <t>Self-Assessment Tax (INR)</t>
        </is>
      </c>
      <c r="R2" s="5" t="inlineStr">
        <is>
          <t>Return Filing Date</t>
        </is>
      </c>
      <c r="S2" s="5" t="inlineStr">
        <is>
          <t>Authorized Signatory</t>
        </is>
      </c>
      <c r="T2" s="5" t="inlineStr">
        <is>
          <t>Designation</t>
        </is>
      </c>
    </row>
    <row r="3" ht="20" customHeight="1">
      <c r="A3" s="6" t="inlineStr">
        <is>
          <t>AABCS1234F</t>
        </is>
      </c>
      <c r="B3" s="7" t="inlineStr">
        <is>
          <t>Sri Tech Solutions Private Limited</t>
        </is>
      </c>
      <c r="C3" s="6" t="inlineStr">
        <is>
          <t>2025–26</t>
        </is>
      </c>
      <c r="D3" s="6" t="inlineStr">
        <is>
          <t>2024–25</t>
        </is>
      </c>
      <c r="E3" s="6" t="inlineStr">
        <is>
          <t>ITR-6</t>
        </is>
      </c>
      <c r="F3" s="7" t="inlineStr">
        <is>
          <t>Domestic Company</t>
        </is>
      </c>
      <c r="G3" s="7" t="inlineStr">
        <is>
          <t>Computer Programming &amp; IT Services</t>
        </is>
      </c>
      <c r="H3" s="6" t="inlineStr">
        <is>
          <t>62011</t>
        </is>
      </c>
      <c r="I3" s="8" t="n">
        <v>87500000</v>
      </c>
      <c r="J3" s="8" t="n">
        <v>82000000</v>
      </c>
      <c r="K3" s="8">
        <f>J3</f>
        <v/>
      </c>
      <c r="L3" s="8">
        <f>K3*0.25</f>
        <v/>
      </c>
      <c r="M3" s="8">
        <f>L3*0.04</f>
        <v/>
      </c>
      <c r="N3" s="8">
        <f>L3+M3</f>
        <v/>
      </c>
      <c r="O3" s="8" t="n">
        <v>1850000</v>
      </c>
      <c r="P3" s="8" t="n">
        <v>18000000</v>
      </c>
      <c r="Q3" s="8">
        <f>N3-O3-P3</f>
        <v/>
      </c>
      <c r="R3" s="6" t="inlineStr">
        <is>
          <t>30/09/2025</t>
        </is>
      </c>
      <c r="S3" s="7" t="inlineStr">
        <is>
          <t>Arun Kumar</t>
        </is>
      </c>
      <c r="T3" s="7" t="inlineStr">
        <is>
          <t>Managing Director</t>
        </is>
      </c>
    </row>
    <row r="4" ht="20" customHeight="1">
      <c r="A4" s="9" t="inlineStr">
        <is>
          <t>AAKFA5678K</t>
        </is>
      </c>
      <c r="B4" s="10" t="inlineStr">
        <is>
          <t>Aura Precision Engineering LLP</t>
        </is>
      </c>
      <c r="C4" s="9" t="inlineStr">
        <is>
          <t>2025–26</t>
        </is>
      </c>
      <c r="D4" s="9" t="inlineStr">
        <is>
          <t>2024–25</t>
        </is>
      </c>
      <c r="E4" s="9" t="inlineStr">
        <is>
          <t>ITR-5</t>
        </is>
      </c>
      <c r="F4" s="10" t="inlineStr">
        <is>
          <t>LLP / Firm</t>
        </is>
      </c>
      <c r="G4" s="10" t="inlineStr">
        <is>
          <t>Machining &amp; Precision Metal Engineering</t>
        </is>
      </c>
      <c r="H4" s="9" t="inlineStr">
        <is>
          <t>25920</t>
        </is>
      </c>
      <c r="I4" s="11" t="n">
        <v>152000000</v>
      </c>
      <c r="J4" s="11" t="n">
        <v>145000000</v>
      </c>
      <c r="K4" s="11">
        <f>J4</f>
        <v/>
      </c>
      <c r="L4" s="11">
        <f>K4*0.3</f>
        <v/>
      </c>
      <c r="M4" s="11">
        <f>L4*0.04</f>
        <v/>
      </c>
      <c r="N4" s="11">
        <f>L4+M4</f>
        <v/>
      </c>
      <c r="O4" s="11" t="n">
        <v>3200000</v>
      </c>
      <c r="P4" s="11" t="n">
        <v>40000000</v>
      </c>
      <c r="Q4" s="11">
        <f>N4-O4-P4</f>
        <v/>
      </c>
      <c r="R4" s="9" t="inlineStr">
        <is>
          <t>15/10/2025</t>
        </is>
      </c>
      <c r="S4" s="10" t="inlineStr">
        <is>
          <t>Rajesh Kulkarni</t>
        </is>
      </c>
      <c r="T4" s="10" t="inlineStr">
        <is>
          <t>Designated Partner</t>
        </is>
      </c>
    </row>
    <row r="5" ht="20" customHeight="1">
      <c r="A5" s="6" t="inlineStr">
        <is>
          <t>AABCG4321H</t>
        </is>
      </c>
      <c r="B5" s="7" t="inlineStr">
        <is>
          <t>GreenRoot Organics Pvt Ltd</t>
        </is>
      </c>
      <c r="C5" s="6" t="inlineStr">
        <is>
          <t>2025–26</t>
        </is>
      </c>
      <c r="D5" s="6" t="inlineStr">
        <is>
          <t>2024–25</t>
        </is>
      </c>
      <c r="E5" s="6" t="inlineStr">
        <is>
          <t>ITR-6</t>
        </is>
      </c>
      <c r="F5" s="7" t="inlineStr">
        <is>
          <t>Domestic Company</t>
        </is>
      </c>
      <c r="G5" s="7" t="inlineStr">
        <is>
          <t>Organic Food Processing &amp; Packaging</t>
        </is>
      </c>
      <c r="H5" s="6" t="inlineStr">
        <is>
          <t>10799</t>
        </is>
      </c>
      <c r="I5" s="8" t="n">
        <v>24000000</v>
      </c>
      <c r="J5" s="8" t="n">
        <v>21000000</v>
      </c>
      <c r="K5" s="8">
        <f>J5</f>
        <v/>
      </c>
      <c r="L5" s="8">
        <f>K5*0.25</f>
        <v/>
      </c>
      <c r="M5" s="8">
        <f>L5*0.04</f>
        <v/>
      </c>
      <c r="N5" s="8">
        <f>L5+M5</f>
        <v/>
      </c>
      <c r="O5" s="8" t="n">
        <v>450000</v>
      </c>
      <c r="P5" s="8" t="n">
        <v>4500000</v>
      </c>
      <c r="Q5" s="8">
        <f>N5-O5-P5</f>
        <v/>
      </c>
      <c r="R5" s="6" t="inlineStr">
        <is>
          <t>28/09/2025</t>
        </is>
      </c>
      <c r="S5" s="7" t="inlineStr">
        <is>
          <t>Venkatesh Rao</t>
        </is>
      </c>
      <c r="T5" s="7" t="inlineStr">
        <is>
          <t>Director</t>
        </is>
      </c>
    </row>
    <row r="6" ht="20" customHeight="1">
      <c r="A6" s="9" t="inlineStr">
        <is>
          <t>BCEPV3456L</t>
        </is>
      </c>
      <c r="B6" s="10" t="inlineStr">
        <is>
          <t>Vibrant Polymers</t>
        </is>
      </c>
      <c r="C6" s="9" t="inlineStr">
        <is>
          <t>2025–26</t>
        </is>
      </c>
      <c r="D6" s="9" t="inlineStr">
        <is>
          <t>2024–25</t>
        </is>
      </c>
      <c r="E6" s="9" t="inlineStr">
        <is>
          <t>ITR-3</t>
        </is>
      </c>
      <c r="F6" s="10" t="inlineStr">
        <is>
          <t>Individual / HUF</t>
        </is>
      </c>
      <c r="G6" s="10" t="inlineStr">
        <is>
          <t>Manufacture of Plastic &amp; Polymer Products</t>
        </is>
      </c>
      <c r="H6" s="9" t="inlineStr">
        <is>
          <t>22209</t>
        </is>
      </c>
      <c r="I6" s="11" t="n">
        <v>10500000</v>
      </c>
      <c r="J6" s="11" t="n">
        <v>9800000</v>
      </c>
      <c r="K6" s="11">
        <f>J6</f>
        <v/>
      </c>
      <c r="L6" s="11">
        <f>K6*0.3</f>
        <v/>
      </c>
      <c r="M6" s="11">
        <f>L6*0.04</f>
        <v/>
      </c>
      <c r="N6" s="11">
        <f>L6+M6</f>
        <v/>
      </c>
      <c r="O6" s="11" t="n">
        <v>210000</v>
      </c>
      <c r="P6" s="11" t="n">
        <v>2600000</v>
      </c>
      <c r="Q6" s="11">
        <f>N6-O6-P6</f>
        <v/>
      </c>
      <c r="R6" s="9" t="inlineStr">
        <is>
          <t>25/10/2025</t>
        </is>
      </c>
      <c r="S6" s="10" t="inlineStr">
        <is>
          <t>Vikram Patel</t>
        </is>
      </c>
      <c r="T6" s="10" t="inlineStr">
        <is>
          <t>Proprietor</t>
        </is>
      </c>
    </row>
    <row r="7" ht="20" customHeight="1">
      <c r="A7" s="6" t="inlineStr">
        <is>
          <t>AABCN7890M</t>
        </is>
      </c>
      <c r="B7" s="7" t="inlineStr">
        <is>
          <t>NextGen Cloud Informatics Pvt Ltd</t>
        </is>
      </c>
      <c r="C7" s="6" t="inlineStr">
        <is>
          <t>2025–26</t>
        </is>
      </c>
      <c r="D7" s="6" t="inlineStr">
        <is>
          <t>2024–25</t>
        </is>
      </c>
      <c r="E7" s="6" t="inlineStr">
        <is>
          <t>ITR-6</t>
        </is>
      </c>
      <c r="F7" s="7" t="inlineStr">
        <is>
          <t>Domestic Company</t>
        </is>
      </c>
      <c r="G7" s="7" t="inlineStr">
        <is>
          <t>Cloud Informatics &amp; IT Consultancy</t>
        </is>
      </c>
      <c r="H7" s="6" t="inlineStr">
        <is>
          <t>62020</t>
        </is>
      </c>
      <c r="I7" s="8" t="n">
        <v>19500000</v>
      </c>
      <c r="J7" s="8" t="n">
        <v>18000000</v>
      </c>
      <c r="K7" s="8">
        <f>J7</f>
        <v/>
      </c>
      <c r="L7" s="8">
        <f>K7*0.25</f>
        <v/>
      </c>
      <c r="M7" s="8">
        <f>L7*0.04</f>
        <v/>
      </c>
      <c r="N7" s="8">
        <f>L7+M7</f>
        <v/>
      </c>
      <c r="O7" s="8" t="n">
        <v>950000</v>
      </c>
      <c r="P7" s="8" t="n">
        <v>3500000</v>
      </c>
      <c r="Q7" s="8">
        <f>N7-O7-P7</f>
        <v/>
      </c>
      <c r="R7" s="6" t="inlineStr">
        <is>
          <t>29/09/2025</t>
        </is>
      </c>
      <c r="S7" s="7" t="inlineStr">
        <is>
          <t>Neha Sharma</t>
        </is>
      </c>
      <c r="T7" s="7" t="inlineStr">
        <is>
          <t>Director</t>
        </is>
      </c>
    </row>
    <row r="8" ht="20" customHeight="1">
      <c r="A8" s="9" t="inlineStr">
        <is>
          <t>AAFFB2345P</t>
        </is>
      </c>
      <c r="B8" s="10" t="inlineStr">
        <is>
          <t>BioMed Lifesciences LLP</t>
        </is>
      </c>
      <c r="C8" s="9" t="inlineStr">
        <is>
          <t>2025–26</t>
        </is>
      </c>
      <c r="D8" s="9" t="inlineStr">
        <is>
          <t>2024–25</t>
        </is>
      </c>
      <c r="E8" s="9" t="inlineStr">
        <is>
          <t>ITR-5</t>
        </is>
      </c>
      <c r="F8" s="10" t="inlineStr">
        <is>
          <t>LLP / Firm</t>
        </is>
      </c>
      <c r="G8" s="10" t="inlineStr">
        <is>
          <t>Pharmaceutical &amp; Biomedical Preparations</t>
        </is>
      </c>
      <c r="H8" s="9" t="inlineStr">
        <is>
          <t>21002</t>
        </is>
      </c>
      <c r="I8" s="11" t="n">
        <v>760000000</v>
      </c>
      <c r="J8" s="11" t="n">
        <v>720000000</v>
      </c>
      <c r="K8" s="11">
        <f>J8</f>
        <v/>
      </c>
      <c r="L8" s="11">
        <f>K8*0.3</f>
        <v/>
      </c>
      <c r="M8" s="11">
        <f>L8*0.04</f>
        <v/>
      </c>
      <c r="N8" s="11">
        <f>L8+M8</f>
        <v/>
      </c>
      <c r="O8" s="11" t="n">
        <v>15500000</v>
      </c>
      <c r="P8" s="11" t="n">
        <v>195000000</v>
      </c>
      <c r="Q8" s="11">
        <f>N8-O8-P8</f>
        <v/>
      </c>
      <c r="R8" s="9" t="inlineStr">
        <is>
          <t>20/10/2025</t>
        </is>
      </c>
      <c r="S8" s="10" t="inlineStr">
        <is>
          <t>Dr. Suresh Reddy</t>
        </is>
      </c>
      <c r="T8" s="10" t="inlineStr">
        <is>
          <t>Managing Partner</t>
        </is>
      </c>
    </row>
    <row r="9" ht="20" customHeight="1">
      <c r="A9" s="6" t="inlineStr">
        <is>
          <t>AAAFB9876C</t>
        </is>
      </c>
      <c r="B9" s="7" t="inlineStr">
        <is>
          <t>Bengal Loom &amp; Crafts</t>
        </is>
      </c>
      <c r="C9" s="6" t="inlineStr">
        <is>
          <t>2025–26</t>
        </is>
      </c>
      <c r="D9" s="6" t="inlineStr">
        <is>
          <t>2024–25</t>
        </is>
      </c>
      <c r="E9" s="6" t="inlineStr">
        <is>
          <t>ITR-5</t>
        </is>
      </c>
      <c r="F9" s="7" t="inlineStr">
        <is>
          <t>Partnership Firm</t>
        </is>
      </c>
      <c r="G9" s="7" t="inlineStr">
        <is>
          <t>Manufacture of Woven Cotton Fabrics</t>
        </is>
      </c>
      <c r="H9" s="6" t="inlineStr">
        <is>
          <t>13121</t>
        </is>
      </c>
      <c r="I9" s="8" t="n">
        <v>13500000</v>
      </c>
      <c r="J9" s="8" t="n">
        <v>12500000</v>
      </c>
      <c r="K9" s="8">
        <f>J9</f>
        <v/>
      </c>
      <c r="L9" s="8">
        <f>K9*0.3</f>
        <v/>
      </c>
      <c r="M9" s="8">
        <f>L9*0.04</f>
        <v/>
      </c>
      <c r="N9" s="8">
        <f>L9+M9</f>
        <v/>
      </c>
      <c r="O9" s="8" t="n">
        <v>280000</v>
      </c>
      <c r="P9" s="8" t="n">
        <v>3400000</v>
      </c>
      <c r="Q9" s="8">
        <f>N9-O9-P9</f>
        <v/>
      </c>
      <c r="R9" s="6" t="inlineStr">
        <is>
          <t>18/10/2025</t>
        </is>
      </c>
      <c r="S9" s="7" t="inlineStr">
        <is>
          <t>Subhash Chatterjee</t>
        </is>
      </c>
      <c r="T9" s="7" t="inlineStr">
        <is>
          <t>Partner</t>
        </is>
      </c>
    </row>
    <row r="10" ht="20" customHeight="1">
      <c r="A10" s="9" t="inlineStr">
        <is>
          <t>BTYPS6543Q</t>
        </is>
      </c>
      <c r="B10" s="10" t="inlineStr">
        <is>
          <t>Shree Krishna Agro Implements</t>
        </is>
      </c>
      <c r="C10" s="9" t="inlineStr">
        <is>
          <t>2025–26</t>
        </is>
      </c>
      <c r="D10" s="9" t="inlineStr">
        <is>
          <t>2024–25</t>
        </is>
      </c>
      <c r="E10" s="9" t="inlineStr">
        <is>
          <t>ITR-3</t>
        </is>
      </c>
      <c r="F10" s="10" t="inlineStr">
        <is>
          <t>Individual / HUF</t>
        </is>
      </c>
      <c r="G10" s="10" t="inlineStr">
        <is>
          <t>Agricultural &amp; Forestry Machinery Mfg</t>
        </is>
      </c>
      <c r="H10" s="9" t="inlineStr">
        <is>
          <t>28211</t>
        </is>
      </c>
      <c r="I10" s="11" t="n">
        <v>12000000</v>
      </c>
      <c r="J10" s="11" t="n">
        <v>11200000</v>
      </c>
      <c r="K10" s="11">
        <f>J10</f>
        <v/>
      </c>
      <c r="L10" s="11">
        <f>K10*0.3</f>
        <v/>
      </c>
      <c r="M10" s="11">
        <f>L10*0.04</f>
        <v/>
      </c>
      <c r="N10" s="11">
        <f>L10+M10</f>
        <v/>
      </c>
      <c r="O10" s="11" t="n">
        <v>240000</v>
      </c>
      <c r="P10" s="11" t="n">
        <v>3100000</v>
      </c>
      <c r="Q10" s="11">
        <f>N10-O10-P10</f>
        <v/>
      </c>
      <c r="R10" s="9" t="inlineStr">
        <is>
          <t>26/10/2025</t>
        </is>
      </c>
      <c r="S10" s="10" t="inlineStr">
        <is>
          <t>Pradeep Tripathi</t>
        </is>
      </c>
      <c r="T10" s="10" t="inlineStr">
        <is>
          <t>Proprietor</t>
        </is>
      </c>
    </row>
    <row r="11" ht="20" customHeight="1">
      <c r="A11" s="6" t="inlineStr">
        <is>
          <t>AABCA4567D</t>
        </is>
      </c>
      <c r="B11" s="7" t="inlineStr">
        <is>
          <t>Apex Supply Chain Logistics Pvt Ltd</t>
        </is>
      </c>
      <c r="C11" s="6" t="inlineStr">
        <is>
          <t>2025–26</t>
        </is>
      </c>
      <c r="D11" s="6" t="inlineStr">
        <is>
          <t>2024–25</t>
        </is>
      </c>
      <c r="E11" s="6" t="inlineStr">
        <is>
          <t>ITR-6</t>
        </is>
      </c>
      <c r="F11" s="7" t="inlineStr">
        <is>
          <t>Domestic Company</t>
        </is>
      </c>
      <c r="G11" s="7" t="inlineStr">
        <is>
          <t>Freight Forwarding &amp; 3PL Logistics Services</t>
        </is>
      </c>
      <c r="H11" s="6" t="inlineStr">
        <is>
          <t>52292</t>
        </is>
      </c>
      <c r="I11" s="8" t="n">
        <v>178000000</v>
      </c>
      <c r="J11" s="8" t="n">
        <v>168000000</v>
      </c>
      <c r="K11" s="8">
        <f>J11</f>
        <v/>
      </c>
      <c r="L11" s="8">
        <f>K11*0.25</f>
        <v/>
      </c>
      <c r="M11" s="8">
        <f>L11*0.04</f>
        <v/>
      </c>
      <c r="N11" s="8">
        <f>L11+M11</f>
        <v/>
      </c>
      <c r="O11" s="8" t="n">
        <v>4800000</v>
      </c>
      <c r="P11" s="8" t="n">
        <v>37000000</v>
      </c>
      <c r="Q11" s="8">
        <f>N11-O11-P11</f>
        <v/>
      </c>
      <c r="R11" s="6" t="inlineStr">
        <is>
          <t>27/09/2025</t>
        </is>
      </c>
      <c r="S11" s="7" t="inlineStr">
        <is>
          <t>Manish Gupta</t>
        </is>
      </c>
      <c r="T11" s="7" t="inlineStr">
        <is>
          <t>Managing Director</t>
        </is>
      </c>
    </row>
    <row r="12" ht="20" customHeight="1">
      <c r="A12" s="9" t="inlineStr">
        <is>
          <t>AAAFM3456J</t>
        </is>
      </c>
      <c r="B12" s="10" t="inlineStr">
        <is>
          <t>Marwar Marble &amp; Granites</t>
        </is>
      </c>
      <c r="C12" s="9" t="inlineStr">
        <is>
          <t>2025–26</t>
        </is>
      </c>
      <c r="D12" s="9" t="inlineStr">
        <is>
          <t>2024–25</t>
        </is>
      </c>
      <c r="E12" s="9" t="inlineStr">
        <is>
          <t>ITR-5</t>
        </is>
      </c>
      <c r="F12" s="10" t="inlineStr">
        <is>
          <t>Partnership Firm</t>
        </is>
      </c>
      <c r="G12" s="10" t="inlineStr">
        <is>
          <t>Cutting, Shaping &amp; Finishing of Stone</t>
        </is>
      </c>
      <c r="H12" s="9" t="inlineStr">
        <is>
          <t>23960</t>
        </is>
      </c>
      <c r="I12" s="11" t="n">
        <v>615000000</v>
      </c>
      <c r="J12" s="11" t="n">
        <v>580000000</v>
      </c>
      <c r="K12" s="11">
        <f>J12</f>
        <v/>
      </c>
      <c r="L12" s="11">
        <f>K12*0.3</f>
        <v/>
      </c>
      <c r="M12" s="11">
        <f>L12*0.04</f>
        <v/>
      </c>
      <c r="N12" s="11">
        <f>L12+M12</f>
        <v/>
      </c>
      <c r="O12" s="11" t="n">
        <v>8500000</v>
      </c>
      <c r="P12" s="11" t="n">
        <v>165000000</v>
      </c>
      <c r="Q12" s="11">
        <f>N12-O12-P12</f>
        <v/>
      </c>
      <c r="R12" s="9" t="inlineStr">
        <is>
          <t>22/10/2025</t>
        </is>
      </c>
      <c r="S12" s="10" t="inlineStr">
        <is>
          <t>Bhawani Singh</t>
        </is>
      </c>
      <c r="T12" s="10" t="inlineStr">
        <is>
          <t>Partner</t>
        </is>
      </c>
    </row>
    <row r="13" ht="20" customHeight="1">
      <c r="A13" s="6" t="inlineStr">
        <is>
          <t>AABFC7891E</t>
        </is>
      </c>
      <c r="B13" s="7" t="inlineStr">
        <is>
          <t>Coastal Spice Extracts LLP</t>
        </is>
      </c>
      <c r="C13" s="6" t="inlineStr">
        <is>
          <t>2025–26</t>
        </is>
      </c>
      <c r="D13" s="6" t="inlineStr">
        <is>
          <t>2024–25</t>
        </is>
      </c>
      <c r="E13" s="6" t="inlineStr">
        <is>
          <t>ITR-5</t>
        </is>
      </c>
      <c r="F13" s="7" t="inlineStr">
        <is>
          <t>LLP / Firm</t>
        </is>
      </c>
      <c r="G13" s="7" t="inlineStr">
        <is>
          <t>Manufacture of Spices &amp; Oleoresins</t>
        </is>
      </c>
      <c r="H13" s="6" t="inlineStr">
        <is>
          <t>10795</t>
        </is>
      </c>
      <c r="I13" s="8" t="n">
        <v>192000000</v>
      </c>
      <c r="J13" s="8" t="n">
        <v>182000000</v>
      </c>
      <c r="K13" s="8">
        <f>J13</f>
        <v/>
      </c>
      <c r="L13" s="8">
        <f>K13*0.3</f>
        <v/>
      </c>
      <c r="M13" s="8">
        <f>L13*0.04</f>
        <v/>
      </c>
      <c r="N13" s="8">
        <f>L13+M13</f>
        <v/>
      </c>
      <c r="O13" s="8" t="n">
        <v>3600000</v>
      </c>
      <c r="P13" s="8" t="n">
        <v>50000000</v>
      </c>
      <c r="Q13" s="8">
        <f>N13-O13-P13</f>
        <v/>
      </c>
      <c r="R13" s="6" t="inlineStr">
        <is>
          <t>24/10/2025</t>
        </is>
      </c>
      <c r="S13" s="7" t="inlineStr">
        <is>
          <t>Mathew Varghese</t>
        </is>
      </c>
      <c r="T13" s="7" t="inlineStr">
        <is>
          <t>Designated Partner</t>
        </is>
      </c>
    </row>
    <row r="14" ht="20" customHeight="1">
      <c r="A14" s="9" t="inlineStr">
        <is>
          <t>BCSPK1234N</t>
        </is>
      </c>
      <c r="B14" s="10" t="inlineStr">
        <is>
          <t>Kovai Automation Systems</t>
        </is>
      </c>
      <c r="C14" s="9" t="inlineStr">
        <is>
          <t>2025–26</t>
        </is>
      </c>
      <c r="D14" s="9" t="inlineStr">
        <is>
          <t>2024–25</t>
        </is>
      </c>
      <c r="E14" s="9" t="inlineStr">
        <is>
          <t>ITR-3</t>
        </is>
      </c>
      <c r="F14" s="10" t="inlineStr">
        <is>
          <t>Individual / HUF</t>
        </is>
      </c>
      <c r="G14" s="10" t="inlineStr">
        <is>
          <t>Engineering Design &amp; System Integration</t>
        </is>
      </c>
      <c r="H14" s="9" t="inlineStr">
        <is>
          <t>71122</t>
        </is>
      </c>
      <c r="I14" s="11" t="n">
        <v>3700000</v>
      </c>
      <c r="J14" s="11" t="n">
        <v>3400000</v>
      </c>
      <c r="K14" s="11">
        <f>J14</f>
        <v/>
      </c>
      <c r="L14" s="11">
        <f>K14*0.3</f>
        <v/>
      </c>
      <c r="M14" s="11">
        <f>L14*0.04</f>
        <v/>
      </c>
      <c r="N14" s="11">
        <f>L14+M14</f>
        <v/>
      </c>
      <c r="O14" s="11" t="n">
        <v>95000</v>
      </c>
      <c r="P14" s="11" t="n">
        <v>880000</v>
      </c>
      <c r="Q14" s="11">
        <f>N14-O14-P14</f>
        <v/>
      </c>
      <c r="R14" s="9" t="inlineStr">
        <is>
          <t>10/10/2025</t>
        </is>
      </c>
      <c r="S14" s="10" t="inlineStr">
        <is>
          <t>K. Selvam</t>
        </is>
      </c>
      <c r="T14" s="10" t="inlineStr">
        <is>
          <t>Proprietor</t>
        </is>
      </c>
    </row>
    <row r="15" ht="20" customHeight="1">
      <c r="A15" s="6" t="inlineStr">
        <is>
          <t>AABCN5678R</t>
        </is>
      </c>
      <c r="B15" s="7" t="inlineStr">
        <is>
          <t>Narmada Flour &amp; Agro Mills Pvt Ltd</t>
        </is>
      </c>
      <c r="C15" s="6" t="inlineStr">
        <is>
          <t>2025–26</t>
        </is>
      </c>
      <c r="D15" s="6" t="inlineStr">
        <is>
          <t>2024–25</t>
        </is>
      </c>
      <c r="E15" s="6" t="inlineStr">
        <is>
          <t>ITR-6</t>
        </is>
      </c>
      <c r="F15" s="7" t="inlineStr">
        <is>
          <t>Domestic Company</t>
        </is>
      </c>
      <c r="G15" s="7" t="inlineStr">
        <is>
          <t>Flour Milling (Atta, Maida, Suji)</t>
        </is>
      </c>
      <c r="H15" s="6" t="inlineStr">
        <is>
          <t>10611</t>
        </is>
      </c>
      <c r="I15" s="8" t="n">
        <v>205000000</v>
      </c>
      <c r="J15" s="8" t="n">
        <v>195000000</v>
      </c>
      <c r="K15" s="8">
        <f>J15</f>
        <v/>
      </c>
      <c r="L15" s="8">
        <f>K15*0.25</f>
        <v/>
      </c>
      <c r="M15" s="8">
        <f>L15*0.04</f>
        <v/>
      </c>
      <c r="N15" s="8">
        <f>L15+M15</f>
        <v/>
      </c>
      <c r="O15" s="8" t="n">
        <v>3100000</v>
      </c>
      <c r="P15" s="8" t="n">
        <v>45000000</v>
      </c>
      <c r="Q15" s="8">
        <f>N15-O15-P15</f>
        <v/>
      </c>
      <c r="R15" s="6" t="inlineStr">
        <is>
          <t>29/09/2025</t>
        </is>
      </c>
      <c r="S15" s="7" t="inlineStr">
        <is>
          <t>Anand Agarwal</t>
        </is>
      </c>
      <c r="T15" s="7" t="inlineStr">
        <is>
          <t>Director</t>
        </is>
      </c>
    </row>
    <row r="16" ht="20" customHeight="1">
      <c r="A16" s="9" t="inlineStr">
        <is>
          <t>AAAFB6789S</t>
        </is>
      </c>
      <c r="B16" s="10" t="inlineStr">
        <is>
          <t>Bedi Sports Goods Manufacturing Co</t>
        </is>
      </c>
      <c r="C16" s="9" t="inlineStr">
        <is>
          <t>2025–26</t>
        </is>
      </c>
      <c r="D16" s="9" t="inlineStr">
        <is>
          <t>2024–25</t>
        </is>
      </c>
      <c r="E16" s="9" t="inlineStr">
        <is>
          <t>ITR-5</t>
        </is>
      </c>
      <c r="F16" s="10" t="inlineStr">
        <is>
          <t>Partnership Firm</t>
        </is>
      </c>
      <c r="G16" s="10" t="inlineStr">
        <is>
          <t>Manufacture of Sports Goods &amp; Equipment</t>
        </is>
      </c>
      <c r="H16" s="9" t="inlineStr">
        <is>
          <t>32300</t>
        </is>
      </c>
      <c r="I16" s="11" t="n">
        <v>81000000</v>
      </c>
      <c r="J16" s="11" t="n">
        <v>76000000</v>
      </c>
      <c r="K16" s="11">
        <f>J16</f>
        <v/>
      </c>
      <c r="L16" s="11">
        <f>K16*0.3</f>
        <v/>
      </c>
      <c r="M16" s="11">
        <f>L16*0.04</f>
        <v/>
      </c>
      <c r="N16" s="11">
        <f>L16+M16</f>
        <v/>
      </c>
      <c r="O16" s="11" t="n">
        <v>1200000</v>
      </c>
      <c r="P16" s="11" t="n">
        <v>21500000</v>
      </c>
      <c r="Q16" s="11">
        <f>N16-O16-P16</f>
        <v/>
      </c>
      <c r="R16" s="9" t="inlineStr">
        <is>
          <t>19/10/2025</t>
        </is>
      </c>
      <c r="S16" s="10" t="inlineStr">
        <is>
          <t>Harpreet Singh Bedi</t>
        </is>
      </c>
      <c r="T16" s="10" t="inlineStr">
        <is>
          <t>Partner</t>
        </is>
      </c>
    </row>
    <row r="17" ht="20" customHeight="1">
      <c r="A17" s="6" t="inlineStr">
        <is>
          <t>BCDPK7890T</t>
        </is>
      </c>
      <c r="B17" s="7" t="inlineStr">
        <is>
          <t>Kalinga Metal Fabrication Works</t>
        </is>
      </c>
      <c r="C17" s="6" t="inlineStr">
        <is>
          <t>2025–26</t>
        </is>
      </c>
      <c r="D17" s="6" t="inlineStr">
        <is>
          <t>2024–25</t>
        </is>
      </c>
      <c r="E17" s="6" t="inlineStr">
        <is>
          <t>ITR-3</t>
        </is>
      </c>
      <c r="F17" s="7" t="inlineStr">
        <is>
          <t>Individual / HUF</t>
        </is>
      </c>
      <c r="G17" s="7" t="inlineStr">
        <is>
          <t>Doors, Windows &amp; Structural Metal Work</t>
        </is>
      </c>
      <c r="H17" s="6" t="inlineStr">
        <is>
          <t>25111</t>
        </is>
      </c>
      <c r="I17" s="8" t="n">
        <v>4100000</v>
      </c>
      <c r="J17" s="8" t="n">
        <v>3800000</v>
      </c>
      <c r="K17" s="8">
        <f>J17</f>
        <v/>
      </c>
      <c r="L17" s="8">
        <f>K17*0.3</f>
        <v/>
      </c>
      <c r="M17" s="8">
        <f>L17*0.04</f>
        <v/>
      </c>
      <c r="N17" s="8">
        <f>L17+M17</f>
        <v/>
      </c>
      <c r="O17" s="8" t="n">
        <v>85000</v>
      </c>
      <c r="P17" s="8" t="n">
        <v>1020000</v>
      </c>
      <c r="Q17" s="8">
        <f>N17-O17-P17</f>
        <v/>
      </c>
      <c r="R17" s="6" t="inlineStr">
        <is>
          <t>12/10/2025</t>
        </is>
      </c>
      <c r="S17" s="7" t="inlineStr">
        <is>
          <t>Debashis Mohapatra</t>
        </is>
      </c>
      <c r="T17" s="7" t="inlineStr">
        <is>
          <t>Proprietor</t>
        </is>
      </c>
    </row>
    <row r="18" ht="20" customHeight="1">
      <c r="A18" s="9" t="inlineStr">
        <is>
          <t>AAAFS1234U</t>
        </is>
      </c>
      <c r="B18" s="10" t="inlineStr">
        <is>
          <t>Sri Balaji Cold Storage &amp; Warehousing</t>
        </is>
      </c>
      <c r="C18" s="9" t="inlineStr">
        <is>
          <t>2025–26</t>
        </is>
      </c>
      <c r="D18" s="9" t="inlineStr">
        <is>
          <t>2024–25</t>
        </is>
      </c>
      <c r="E18" s="9" t="inlineStr">
        <is>
          <t>ITR-5</t>
        </is>
      </c>
      <c r="F18" s="10" t="inlineStr">
        <is>
          <t>Partnership Firm</t>
        </is>
      </c>
      <c r="G18" s="10" t="inlineStr">
        <is>
          <t>Storage &amp; Warehousing - Cold Storage</t>
        </is>
      </c>
      <c r="H18" s="9" t="inlineStr">
        <is>
          <t>52109</t>
        </is>
      </c>
      <c r="I18" s="11" t="n">
        <v>129000000</v>
      </c>
      <c r="J18" s="11" t="n">
        <v>121000000</v>
      </c>
      <c r="K18" s="11">
        <f>J18</f>
        <v/>
      </c>
      <c r="L18" s="11">
        <f>K18*0.3</f>
        <v/>
      </c>
      <c r="M18" s="11">
        <f>L18*0.04</f>
        <v/>
      </c>
      <c r="N18" s="11">
        <f>L18+M18</f>
        <v/>
      </c>
      <c r="O18" s="11" t="n">
        <v>2400000</v>
      </c>
      <c r="P18" s="11" t="n">
        <v>33500000</v>
      </c>
      <c r="Q18" s="11">
        <f>N18-O18-P18</f>
        <v/>
      </c>
      <c r="R18" s="9" t="inlineStr">
        <is>
          <t>21/10/2025</t>
        </is>
      </c>
      <c r="S18" s="10" t="inlineStr">
        <is>
          <t>K. Venkateshwarlu</t>
        </is>
      </c>
      <c r="T18" s="10" t="inlineStr">
        <is>
          <t>Managing Partner</t>
        </is>
      </c>
    </row>
    <row r="19" ht="20" customHeight="1">
      <c r="A19" s="6" t="inlineStr">
        <is>
          <t>AABCZ9012V</t>
        </is>
      </c>
      <c r="B19" s="7" t="inlineStr">
        <is>
          <t>Zenith Cybernetics Pvt Ltd</t>
        </is>
      </c>
      <c r="C19" s="6" t="inlineStr">
        <is>
          <t>2025–26</t>
        </is>
      </c>
      <c r="D19" s="6" t="inlineStr">
        <is>
          <t>2024–25</t>
        </is>
      </c>
      <c r="E19" s="6" t="inlineStr">
        <is>
          <t>ITR-6</t>
        </is>
      </c>
      <c r="F19" s="7" t="inlineStr">
        <is>
          <t>Domestic Company</t>
        </is>
      </c>
      <c r="G19" s="7" t="inlineStr">
        <is>
          <t>Information Technology &amp; Computer Services</t>
        </is>
      </c>
      <c r="H19" s="6" t="inlineStr">
        <is>
          <t>62099</t>
        </is>
      </c>
      <c r="I19" s="8" t="n">
        <v>26500000</v>
      </c>
      <c r="J19" s="8" t="n">
        <v>24000000</v>
      </c>
      <c r="K19" s="8">
        <f>J19</f>
        <v/>
      </c>
      <c r="L19" s="8">
        <f>K19*0.25</f>
        <v/>
      </c>
      <c r="M19" s="8">
        <f>L19*0.04</f>
        <v/>
      </c>
      <c r="N19" s="8">
        <f>L19+M19</f>
        <v/>
      </c>
      <c r="O19" s="8" t="n">
        <v>620000</v>
      </c>
      <c r="P19" s="8" t="n">
        <v>5200000</v>
      </c>
      <c r="Q19" s="8">
        <f>N19-O19-P19</f>
        <v/>
      </c>
      <c r="R19" s="6" t="inlineStr">
        <is>
          <t>29/09/2025</t>
        </is>
      </c>
      <c r="S19" s="7" t="inlineStr">
        <is>
          <t>Rohit Verma</t>
        </is>
      </c>
      <c r="T19" s="7" t="inlineStr">
        <is>
          <t>Director</t>
        </is>
      </c>
    </row>
    <row r="20" ht="20" customHeight="1">
      <c r="A20" s="9" t="inlineStr">
        <is>
          <t>BDEPM4567W</t>
        </is>
      </c>
      <c r="B20" s="10" t="inlineStr">
        <is>
          <t>Magadh Dairy Products</t>
        </is>
      </c>
      <c r="C20" s="9" t="inlineStr">
        <is>
          <t>2025–26</t>
        </is>
      </c>
      <c r="D20" s="9" t="inlineStr">
        <is>
          <t>2024–25</t>
        </is>
      </c>
      <c r="E20" s="9" t="inlineStr">
        <is>
          <t>ITR-3</t>
        </is>
      </c>
      <c r="F20" s="10" t="inlineStr">
        <is>
          <t>Individual / HUF</t>
        </is>
      </c>
      <c r="G20" s="10" t="inlineStr">
        <is>
          <t>Manufacture of Liquid Milk, Cream, Butter, Paneer</t>
        </is>
      </c>
      <c r="H20" s="9" t="inlineStr">
        <is>
          <t>10501</t>
        </is>
      </c>
      <c r="I20" s="11" t="n">
        <v>4450000</v>
      </c>
      <c r="J20" s="11" t="n">
        <v>4100000</v>
      </c>
      <c r="K20" s="11">
        <f>J20</f>
        <v/>
      </c>
      <c r="L20" s="11">
        <f>K20*0.3</f>
        <v/>
      </c>
      <c r="M20" s="11">
        <f>L20*0.04</f>
        <v/>
      </c>
      <c r="N20" s="11">
        <f>L20+M20</f>
        <v/>
      </c>
      <c r="O20" s="11" t="n">
        <v>90000</v>
      </c>
      <c r="P20" s="11" t="n">
        <v>1120000</v>
      </c>
      <c r="Q20" s="11">
        <f>N20-O20-P20</f>
        <v/>
      </c>
      <c r="R20" s="9" t="inlineStr">
        <is>
          <t>14/10/2025</t>
        </is>
      </c>
      <c r="S20" s="10" t="inlineStr">
        <is>
          <t>Manoj Kumar Yadav</t>
        </is>
      </c>
      <c r="T20" s="10" t="inlineStr">
        <is>
          <t>Proprietor</t>
        </is>
      </c>
    </row>
    <row r="21" ht="20" customHeight="1">
      <c r="A21" s="6" t="inlineStr">
        <is>
          <t>AABCC3456X</t>
        </is>
      </c>
      <c r="B21" s="7" t="inlineStr">
        <is>
          <t>Chotanagpur Refractories Pvt Ltd</t>
        </is>
      </c>
      <c r="C21" s="6" t="inlineStr">
        <is>
          <t>2025–26</t>
        </is>
      </c>
      <c r="D21" s="6" t="inlineStr">
        <is>
          <t>2024–25</t>
        </is>
      </c>
      <c r="E21" s="6" t="inlineStr">
        <is>
          <t>ITR-6</t>
        </is>
      </c>
      <c r="F21" s="7" t="inlineStr">
        <is>
          <t>Domestic Company</t>
        </is>
      </c>
      <c r="G21" s="7" t="inlineStr">
        <is>
          <t>Manufacture of Refractory Products</t>
        </is>
      </c>
      <c r="H21" s="6" t="inlineStr">
        <is>
          <t>23910</t>
        </is>
      </c>
      <c r="I21" s="8" t="n">
        <v>660000000</v>
      </c>
      <c r="J21" s="8" t="n">
        <v>625000000</v>
      </c>
      <c r="K21" s="8">
        <f>J21</f>
        <v/>
      </c>
      <c r="L21" s="8">
        <f>K21*0.25</f>
        <v/>
      </c>
      <c r="M21" s="8">
        <f>L21*0.04</f>
        <v/>
      </c>
      <c r="N21" s="8">
        <f>L21+M21</f>
        <v/>
      </c>
      <c r="O21" s="8" t="n">
        <v>11500000</v>
      </c>
      <c r="P21" s="8" t="n">
        <v>140000000</v>
      </c>
      <c r="Q21" s="8">
        <f>N21-O21-P21</f>
        <v/>
      </c>
      <c r="R21" s="6" t="inlineStr">
        <is>
          <t>30/09/2025</t>
        </is>
      </c>
      <c r="S21" s="7" t="inlineStr">
        <is>
          <t>Sanjay Banerjee</t>
        </is>
      </c>
      <c r="T21" s="7" t="inlineStr">
        <is>
          <t>Director</t>
        </is>
      </c>
    </row>
    <row r="22" ht="20" customHeight="1">
      <c r="A22" s="9" t="inlineStr">
        <is>
          <t>AABFP8901Y</t>
        </is>
      </c>
      <c r="B22" s="10" t="inlineStr">
        <is>
          <t>Pragjyotish Tea Packaging LLP</t>
        </is>
      </c>
      <c r="C22" s="9" t="inlineStr">
        <is>
          <t>2025–26</t>
        </is>
      </c>
      <c r="D22" s="9" t="inlineStr">
        <is>
          <t>2024–25</t>
        </is>
      </c>
      <c r="E22" s="9" t="inlineStr">
        <is>
          <t>ITR-5</t>
        </is>
      </c>
      <c r="F22" s="10" t="inlineStr">
        <is>
          <t>LLP / Firm</t>
        </is>
      </c>
      <c r="G22" s="10" t="inlineStr">
        <is>
          <t>Tea Processing, Blending &amp; Packaging</t>
        </is>
      </c>
      <c r="H22" s="9" t="inlineStr">
        <is>
          <t>10792</t>
        </is>
      </c>
      <c r="I22" s="11" t="n">
        <v>160000000</v>
      </c>
      <c r="J22" s="11" t="n">
        <v>152000000</v>
      </c>
      <c r="K22" s="11">
        <f>J22</f>
        <v/>
      </c>
      <c r="L22" s="11">
        <f>K22*0.3</f>
        <v/>
      </c>
      <c r="M22" s="11">
        <f>L22*0.04</f>
        <v/>
      </c>
      <c r="N22" s="11">
        <f>L22+M22</f>
        <v/>
      </c>
      <c r="O22" s="11" t="n">
        <v>3400000</v>
      </c>
      <c r="P22" s="11" t="n">
        <v>42000000</v>
      </c>
      <c r="Q22" s="11">
        <f>N22-O22-P22</f>
        <v/>
      </c>
      <c r="R22" s="9" t="inlineStr">
        <is>
          <t>23/10/2025</t>
        </is>
      </c>
      <c r="S22" s="10" t="inlineStr">
        <is>
          <t>Pranab Barua</t>
        </is>
      </c>
      <c r="T22" s="10" t="inlineStr">
        <is>
          <t>Designated Partner</t>
        </is>
      </c>
    </row>
    <row r="23" ht="22" customHeight="1">
      <c r="A23" s="12" t="inlineStr">
        <is>
          <t>TOTAL / SUMMARY</t>
        </is>
      </c>
      <c r="B23" s="13" t="n"/>
      <c r="C23" s="13" t="n"/>
      <c r="D23" s="13" t="n"/>
      <c r="E23" s="13" t="n"/>
      <c r="F23" s="13" t="n"/>
      <c r="G23" s="13" t="n"/>
      <c r="H23" s="13" t="n"/>
      <c r="I23" s="14">
        <f>SUM(I3:I22)</f>
        <v/>
      </c>
      <c r="J23" s="14">
        <f>SUM(J3:J22)</f>
        <v/>
      </c>
      <c r="K23" s="14">
        <f>SUM(K3:K22)</f>
        <v/>
      </c>
      <c r="L23" s="14">
        <f>SUM(L3:L22)</f>
        <v/>
      </c>
      <c r="M23" s="14">
        <f>SUM(M3:M22)</f>
        <v/>
      </c>
      <c r="N23" s="14">
        <f>SUM(N3:N22)</f>
        <v/>
      </c>
      <c r="O23" s="14">
        <f>SUM(O3:O22)</f>
        <v/>
      </c>
      <c r="P23" s="14">
        <f>SUM(P3:P22)</f>
        <v/>
      </c>
      <c r="Q23" s="14">
        <f>SUM(Q3:Q22)</f>
        <v/>
      </c>
      <c r="R23" s="13" t="n"/>
      <c r="S23" s="13" t="n"/>
      <c r="T23" s="13" t="n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6" customWidth="1" min="4" max="4"/>
    <col width="28" customWidth="1" min="5" max="5"/>
    <col width="45" customWidth="1" min="6" max="6"/>
  </cols>
  <sheetData>
    <row r="2" ht="24" customHeight="1">
      <c r="B2" s="17" t="inlineStr">
        <is>
          <t>MOCK DATA SET 1: SRI TECH SOLUTIONS PRIVATE LIMITED (AABCS1234F)</t>
        </is>
      </c>
    </row>
    <row r="3" ht="20" customHeight="1">
      <c r="B3" s="18" t="inlineStr">
        <is>
          <t>PAN Details</t>
        </is>
      </c>
      <c r="E3" s="19" t="inlineStr">
        <is>
          <t>Income Tax Details</t>
        </is>
      </c>
    </row>
    <row r="4" ht="18" customHeight="1">
      <c r="B4" s="20" t="inlineStr">
        <is>
          <t>PAN</t>
        </is>
      </c>
      <c r="C4" s="21" t="inlineStr">
        <is>
          <t>AABCS1234F</t>
        </is>
      </c>
      <c r="E4" s="20" t="inlineStr">
        <is>
          <t>PAN</t>
        </is>
      </c>
      <c r="F4" s="21" t="inlineStr">
        <is>
          <t>AABCS1234F</t>
        </is>
      </c>
    </row>
    <row r="5" ht="18" customHeight="1">
      <c r="B5" s="20" t="inlineStr">
        <is>
          <t>Name as per PAN</t>
        </is>
      </c>
      <c r="C5" s="21" t="inlineStr">
        <is>
          <t>Sri Tech Solutions Private Limited</t>
        </is>
      </c>
      <c r="E5" s="20" t="inlineStr">
        <is>
          <t>Assessee Name</t>
        </is>
      </c>
      <c r="F5" s="21" t="inlineStr">
        <is>
          <t>Sri Tech Solutions Private Limited</t>
        </is>
      </c>
    </row>
    <row r="6" ht="18" customHeight="1">
      <c r="B6" s="20" t="inlineStr">
        <is>
          <t>PAN Holder Type</t>
        </is>
      </c>
      <c r="C6" s="21" t="inlineStr">
        <is>
          <t>Company</t>
        </is>
      </c>
      <c r="E6" s="20" t="inlineStr">
        <is>
          <t>Assessment Year</t>
        </is>
      </c>
      <c r="F6" s="21" t="inlineStr">
        <is>
          <t>2025–26</t>
        </is>
      </c>
    </row>
    <row r="7" ht="18" customHeight="1">
      <c r="B7" s="20" t="inlineStr">
        <is>
          <t>Date of Incorporation</t>
        </is>
      </c>
      <c r="C7" s="21" t="inlineStr">
        <is>
          <t>10/03/2022</t>
        </is>
      </c>
      <c r="E7" s="20" t="inlineStr">
        <is>
          <t>Previous Year</t>
        </is>
      </c>
      <c r="F7" s="21" t="inlineStr">
        <is>
          <t>2024–25</t>
        </is>
      </c>
    </row>
    <row r="8" ht="18" customHeight="1">
      <c r="B8" s="20" t="inlineStr">
        <is>
          <t>Address</t>
        </is>
      </c>
      <c r="C8" s="21" t="inlineStr">
        <is>
          <t>25, Industrial Estate Road, Guindy, Chennai, Tamil Nadu – 600032</t>
        </is>
      </c>
      <c r="E8" s="20" t="inlineStr">
        <is>
          <t>Return Form</t>
        </is>
      </c>
      <c r="F8" s="21" t="inlineStr">
        <is>
          <t>ITR-6</t>
        </is>
      </c>
    </row>
    <row r="9" ht="18" customHeight="1">
      <c r="B9" s="20" t="inlineStr">
        <is>
          <t>State</t>
        </is>
      </c>
      <c r="C9" s="21" t="inlineStr">
        <is>
          <t>Tamil Nadu</t>
        </is>
      </c>
      <c r="E9" s="20" t="inlineStr">
        <is>
          <t>Nature of Entity</t>
        </is>
      </c>
      <c r="F9" s="21" t="inlineStr">
        <is>
          <t>Domestic Company</t>
        </is>
      </c>
    </row>
    <row r="10" ht="18" customHeight="1">
      <c r="B10" s="20" t="inlineStr">
        <is>
          <t>Country</t>
        </is>
      </c>
      <c r="C10" s="21" t="inlineStr">
        <is>
          <t>India</t>
        </is>
      </c>
      <c r="E10" s="20" t="inlineStr">
        <is>
          <t>Nature of Business</t>
        </is>
      </c>
      <c r="F10" s="21" t="inlineStr">
        <is>
          <t>Computer Programming &amp; IT Services</t>
        </is>
      </c>
    </row>
    <row r="11" ht="18" customHeight="1">
      <c r="B11" s="22" t="n"/>
      <c r="C11" s="22" t="n"/>
      <c r="E11" s="20" t="inlineStr">
        <is>
          <t>Business Code</t>
        </is>
      </c>
      <c r="F11" s="21" t="inlineStr">
        <is>
          <t>62011</t>
        </is>
      </c>
    </row>
    <row r="12" ht="18" customHeight="1">
      <c r="B12" s="22" t="n"/>
      <c r="C12" s="22" t="n"/>
      <c r="E12" s="20" t="inlineStr">
        <is>
          <t>Gross Total Income</t>
        </is>
      </c>
      <c r="F12" s="21" t="inlineStr">
        <is>
          <t>₹87,500,000</t>
        </is>
      </c>
    </row>
    <row r="13" ht="18" customHeight="1">
      <c r="B13" s="22" t="n"/>
      <c r="C13" s="22" t="n"/>
      <c r="E13" s="20" t="inlineStr">
        <is>
          <t>Total Income</t>
        </is>
      </c>
      <c r="F13" s="21" t="inlineStr">
        <is>
          <t>₹82,000,000</t>
        </is>
      </c>
    </row>
    <row r="14" ht="18" customHeight="1">
      <c r="B14" s="22" t="n"/>
      <c r="C14" s="22" t="n"/>
      <c r="E14" s="20" t="inlineStr">
        <is>
          <t>Taxable Income</t>
        </is>
      </c>
      <c r="F14" s="21" t="inlineStr">
        <is>
          <t>₹82,000,000</t>
        </is>
      </c>
    </row>
    <row r="15" ht="18" customHeight="1">
      <c r="B15" s="22" t="n"/>
      <c r="C15" s="22" t="n"/>
      <c r="E15" s="20" t="inlineStr">
        <is>
          <t>Income Tax</t>
        </is>
      </c>
      <c r="F15" s="21" t="inlineStr">
        <is>
          <t>₹20,500,000</t>
        </is>
      </c>
    </row>
    <row r="16" ht="18" customHeight="1">
      <c r="B16" s="22" t="n"/>
      <c r="C16" s="22" t="n"/>
      <c r="E16" s="20" t="inlineStr">
        <is>
          <t>Health &amp; Education Cess</t>
        </is>
      </c>
      <c r="F16" s="21" t="inlineStr">
        <is>
          <t>₹820,000</t>
        </is>
      </c>
    </row>
    <row r="17" ht="18" customHeight="1">
      <c r="B17" s="22" t="n"/>
      <c r="C17" s="22" t="n"/>
      <c r="E17" s="20" t="inlineStr">
        <is>
          <t>Total Tax Liability</t>
        </is>
      </c>
      <c r="F17" s="21" t="inlineStr">
        <is>
          <t>₹21,320,000</t>
        </is>
      </c>
    </row>
    <row r="18" ht="18" customHeight="1">
      <c r="B18" s="22" t="n"/>
      <c r="C18" s="22" t="n"/>
      <c r="E18" s="20" t="inlineStr">
        <is>
          <t>TDS/TCS Credit</t>
        </is>
      </c>
      <c r="F18" s="21" t="inlineStr">
        <is>
          <t>₹1,850,000</t>
        </is>
      </c>
    </row>
    <row r="19" ht="18" customHeight="1">
      <c r="B19" s="22" t="n"/>
      <c r="C19" s="22" t="n"/>
      <c r="E19" s="20" t="inlineStr">
        <is>
          <t>Advance Tax Paid</t>
        </is>
      </c>
      <c r="F19" s="21" t="inlineStr">
        <is>
          <t>₹18,000,000</t>
        </is>
      </c>
    </row>
    <row r="20" ht="18" customHeight="1">
      <c r="B20" s="22" t="n"/>
      <c r="C20" s="22" t="n"/>
      <c r="E20" s="20" t="inlineStr">
        <is>
          <t>Self-Assessment Tax</t>
        </is>
      </c>
      <c r="F20" s="21" t="inlineStr">
        <is>
          <t>₹1,470,000</t>
        </is>
      </c>
    </row>
    <row r="21" ht="18" customHeight="1">
      <c r="B21" s="22" t="n"/>
      <c r="C21" s="22" t="n"/>
      <c r="E21" s="20" t="inlineStr">
        <is>
          <t>Return Filing Date</t>
        </is>
      </c>
      <c r="F21" s="21" t="inlineStr">
        <is>
          <t>30/09/2025</t>
        </is>
      </c>
    </row>
    <row r="22" ht="18" customHeight="1">
      <c r="B22" s="22" t="n"/>
      <c r="C22" s="22" t="n"/>
      <c r="E22" s="20" t="inlineStr">
        <is>
          <t>Authorized Signatory</t>
        </is>
      </c>
      <c r="F22" s="21" t="inlineStr">
        <is>
          <t>Arun Kumar</t>
        </is>
      </c>
    </row>
    <row r="23" ht="18" customHeight="1">
      <c r="B23" s="22" t="n"/>
      <c r="C23" s="22" t="n"/>
      <c r="E23" s="20" t="inlineStr">
        <is>
          <t>Designation</t>
        </is>
      </c>
      <c r="F23" s="21" t="inlineStr">
        <is>
          <t>Managing Director</t>
        </is>
      </c>
    </row>
    <row r="25" ht="24" customHeight="1">
      <c r="B25" s="17" t="inlineStr">
        <is>
          <t>MOCK DATA SET 2: AURA PRECISION ENGINEERING LLP (AAKFA5678K)</t>
        </is>
      </c>
    </row>
    <row r="26" ht="20" customHeight="1">
      <c r="B26" s="18" t="inlineStr">
        <is>
          <t>PAN Details</t>
        </is>
      </c>
      <c r="E26" s="19" t="inlineStr">
        <is>
          <t>Income Tax Details</t>
        </is>
      </c>
    </row>
    <row r="27" ht="18" customHeight="1">
      <c r="B27" s="20" t="inlineStr">
        <is>
          <t>PAN</t>
        </is>
      </c>
      <c r="C27" s="21" t="inlineStr">
        <is>
          <t>AAKFA5678K</t>
        </is>
      </c>
      <c r="E27" s="20" t="inlineStr">
        <is>
          <t>PAN</t>
        </is>
      </c>
      <c r="F27" s="21" t="inlineStr">
        <is>
          <t>AAKFA5678K</t>
        </is>
      </c>
    </row>
    <row r="28" ht="18" customHeight="1">
      <c r="B28" s="20" t="inlineStr">
        <is>
          <t>Name as per PAN</t>
        </is>
      </c>
      <c r="C28" s="21" t="inlineStr">
        <is>
          <t>Aura Precision Engineering LLP</t>
        </is>
      </c>
      <c r="E28" s="20" t="inlineStr">
        <is>
          <t>Assessee Name</t>
        </is>
      </c>
      <c r="F28" s="21" t="inlineStr">
        <is>
          <t>Aura Precision Engineering LLP</t>
        </is>
      </c>
    </row>
    <row r="29" ht="18" customHeight="1">
      <c r="B29" s="20" t="inlineStr">
        <is>
          <t>PAN Holder Type</t>
        </is>
      </c>
      <c r="C29" s="21" t="inlineStr">
        <is>
          <t>Limited Liability Partnership</t>
        </is>
      </c>
      <c r="E29" s="20" t="inlineStr">
        <is>
          <t>Assessment Year</t>
        </is>
      </c>
      <c r="F29" s="21" t="inlineStr">
        <is>
          <t>2025–26</t>
        </is>
      </c>
    </row>
    <row r="30" ht="18" customHeight="1">
      <c r="B30" s="20" t="inlineStr">
        <is>
          <t>Date of Incorporation</t>
        </is>
      </c>
      <c r="C30" s="21" t="inlineStr">
        <is>
          <t>14/07/2019</t>
        </is>
      </c>
      <c r="E30" s="20" t="inlineStr">
        <is>
          <t>Previous Year</t>
        </is>
      </c>
      <c r="F30" s="21" t="inlineStr">
        <is>
          <t>2024–25</t>
        </is>
      </c>
    </row>
    <row r="31" ht="18" customHeight="1">
      <c r="B31" s="20" t="inlineStr">
        <is>
          <t>Address</t>
        </is>
      </c>
      <c r="C31" s="21" t="inlineStr">
        <is>
          <t>Plot 44, MIDC Bhosari, Pune, Maharashtra – 411026</t>
        </is>
      </c>
      <c r="E31" s="20" t="inlineStr">
        <is>
          <t>Return Form</t>
        </is>
      </c>
      <c r="F31" s="21" t="inlineStr">
        <is>
          <t>ITR-5</t>
        </is>
      </c>
    </row>
    <row r="32" ht="18" customHeight="1">
      <c r="B32" s="20" t="inlineStr">
        <is>
          <t>State</t>
        </is>
      </c>
      <c r="C32" s="21" t="inlineStr">
        <is>
          <t>Maharashtra</t>
        </is>
      </c>
      <c r="E32" s="20" t="inlineStr">
        <is>
          <t>Nature of Entity</t>
        </is>
      </c>
      <c r="F32" s="21" t="inlineStr">
        <is>
          <t>LLP / Firm</t>
        </is>
      </c>
    </row>
    <row r="33" ht="18" customHeight="1">
      <c r="B33" s="20" t="inlineStr">
        <is>
          <t>Country</t>
        </is>
      </c>
      <c r="C33" s="21" t="inlineStr">
        <is>
          <t>India</t>
        </is>
      </c>
      <c r="E33" s="20" t="inlineStr">
        <is>
          <t>Nature of Business</t>
        </is>
      </c>
      <c r="F33" s="21" t="inlineStr">
        <is>
          <t>Machining &amp; Precision Metal Engineering</t>
        </is>
      </c>
    </row>
    <row r="34" ht="18" customHeight="1">
      <c r="B34" s="22" t="n"/>
      <c r="C34" s="22" t="n"/>
      <c r="E34" s="20" t="inlineStr">
        <is>
          <t>Business Code</t>
        </is>
      </c>
      <c r="F34" s="21" t="inlineStr">
        <is>
          <t>25920</t>
        </is>
      </c>
    </row>
    <row r="35" ht="18" customHeight="1">
      <c r="B35" s="22" t="n"/>
      <c r="C35" s="22" t="n"/>
      <c r="E35" s="20" t="inlineStr">
        <is>
          <t>Gross Total Income</t>
        </is>
      </c>
      <c r="F35" s="21" t="inlineStr">
        <is>
          <t>₹152,000,000</t>
        </is>
      </c>
    </row>
    <row r="36" ht="18" customHeight="1">
      <c r="B36" s="22" t="n"/>
      <c r="C36" s="22" t="n"/>
      <c r="E36" s="20" t="inlineStr">
        <is>
          <t>Total Income</t>
        </is>
      </c>
      <c r="F36" s="21" t="inlineStr">
        <is>
          <t>₹145,000,000</t>
        </is>
      </c>
    </row>
    <row r="37" ht="18" customHeight="1">
      <c r="B37" s="22" t="n"/>
      <c r="C37" s="22" t="n"/>
      <c r="E37" s="20" t="inlineStr">
        <is>
          <t>Taxable Income</t>
        </is>
      </c>
      <c r="F37" s="21" t="inlineStr">
        <is>
          <t>₹145,000,000</t>
        </is>
      </c>
    </row>
    <row r="38" ht="18" customHeight="1">
      <c r="B38" s="22" t="n"/>
      <c r="C38" s="22" t="n"/>
      <c r="E38" s="20" t="inlineStr">
        <is>
          <t>Income Tax</t>
        </is>
      </c>
      <c r="F38" s="21" t="inlineStr">
        <is>
          <t>₹43,500,000</t>
        </is>
      </c>
    </row>
    <row r="39" ht="18" customHeight="1">
      <c r="B39" s="22" t="n"/>
      <c r="C39" s="22" t="n"/>
      <c r="E39" s="20" t="inlineStr">
        <is>
          <t>Health &amp; Education Cess</t>
        </is>
      </c>
      <c r="F39" s="21" t="inlineStr">
        <is>
          <t>₹1,740,000</t>
        </is>
      </c>
    </row>
    <row r="40" ht="18" customHeight="1">
      <c r="B40" s="22" t="n"/>
      <c r="C40" s="22" t="n"/>
      <c r="E40" s="20" t="inlineStr">
        <is>
          <t>Total Tax Liability</t>
        </is>
      </c>
      <c r="F40" s="21" t="inlineStr">
        <is>
          <t>₹45,240,000</t>
        </is>
      </c>
    </row>
    <row r="41" ht="18" customHeight="1">
      <c r="B41" s="22" t="n"/>
      <c r="C41" s="22" t="n"/>
      <c r="E41" s="20" t="inlineStr">
        <is>
          <t>TDS/TCS Credit</t>
        </is>
      </c>
      <c r="F41" s="21" t="inlineStr">
        <is>
          <t>₹3,200,000</t>
        </is>
      </c>
    </row>
    <row r="42" ht="18" customHeight="1">
      <c r="B42" s="22" t="n"/>
      <c r="C42" s="22" t="n"/>
      <c r="E42" s="20" t="inlineStr">
        <is>
          <t>Advance Tax Paid</t>
        </is>
      </c>
      <c r="F42" s="21" t="inlineStr">
        <is>
          <t>₹40,000,000</t>
        </is>
      </c>
    </row>
    <row r="43" ht="18" customHeight="1">
      <c r="B43" s="22" t="n"/>
      <c r="C43" s="22" t="n"/>
      <c r="E43" s="20" t="inlineStr">
        <is>
          <t>Self-Assessment Tax</t>
        </is>
      </c>
      <c r="F43" s="21" t="inlineStr">
        <is>
          <t>₹2,040,000</t>
        </is>
      </c>
    </row>
    <row r="44" ht="18" customHeight="1">
      <c r="B44" s="22" t="n"/>
      <c r="C44" s="22" t="n"/>
      <c r="E44" s="20" t="inlineStr">
        <is>
          <t>Return Filing Date</t>
        </is>
      </c>
      <c r="F44" s="21" t="inlineStr">
        <is>
          <t>15/10/2025</t>
        </is>
      </c>
    </row>
    <row r="45" ht="18" customHeight="1">
      <c r="B45" s="22" t="n"/>
      <c r="C45" s="22" t="n"/>
      <c r="E45" s="20" t="inlineStr">
        <is>
          <t>Authorized Signatory</t>
        </is>
      </c>
      <c r="F45" s="21" t="inlineStr">
        <is>
          <t>Rajesh Kulkarni</t>
        </is>
      </c>
    </row>
    <row r="46" ht="18" customHeight="1">
      <c r="B46" s="22" t="n"/>
      <c r="C46" s="22" t="n"/>
      <c r="E46" s="20" t="inlineStr">
        <is>
          <t>Designation</t>
        </is>
      </c>
      <c r="F46" s="21" t="inlineStr">
        <is>
          <t>Designated Partner</t>
        </is>
      </c>
    </row>
    <row r="48" ht="24" customHeight="1">
      <c r="B48" s="17" t="inlineStr">
        <is>
          <t>MOCK DATA SET 3: GREENROOT ORGANICS PVT LTD (AABCG4321H)</t>
        </is>
      </c>
    </row>
    <row r="49" ht="20" customHeight="1">
      <c r="B49" s="18" t="inlineStr">
        <is>
          <t>PAN Details</t>
        </is>
      </c>
      <c r="E49" s="19" t="inlineStr">
        <is>
          <t>Income Tax Details</t>
        </is>
      </c>
    </row>
    <row r="50" ht="18" customHeight="1">
      <c r="B50" s="20" t="inlineStr">
        <is>
          <t>PAN</t>
        </is>
      </c>
      <c r="C50" s="21" t="inlineStr">
        <is>
          <t>AABCG4321H</t>
        </is>
      </c>
      <c r="E50" s="20" t="inlineStr">
        <is>
          <t>PAN</t>
        </is>
      </c>
      <c r="F50" s="21" t="inlineStr">
        <is>
          <t>AABCG4321H</t>
        </is>
      </c>
    </row>
    <row r="51" ht="18" customHeight="1">
      <c r="B51" s="20" t="inlineStr">
        <is>
          <t>Name as per PAN</t>
        </is>
      </c>
      <c r="C51" s="21" t="inlineStr">
        <is>
          <t>GreenRoot Organics Pvt Ltd</t>
        </is>
      </c>
      <c r="E51" s="20" t="inlineStr">
        <is>
          <t>Assessee Name</t>
        </is>
      </c>
      <c r="F51" s="21" t="inlineStr">
        <is>
          <t>GreenRoot Organics Pvt Ltd</t>
        </is>
      </c>
    </row>
    <row r="52" ht="18" customHeight="1">
      <c r="B52" s="20" t="inlineStr">
        <is>
          <t>PAN Holder Type</t>
        </is>
      </c>
      <c r="C52" s="21" t="inlineStr">
        <is>
          <t>Company</t>
        </is>
      </c>
      <c r="E52" s="20" t="inlineStr">
        <is>
          <t>Assessment Year</t>
        </is>
      </c>
      <c r="F52" s="21" t="inlineStr">
        <is>
          <t>2025–26</t>
        </is>
      </c>
    </row>
    <row r="53" ht="18" customHeight="1">
      <c r="B53" s="20" t="inlineStr">
        <is>
          <t>Date of Incorporation</t>
        </is>
      </c>
      <c r="C53" s="21" t="inlineStr">
        <is>
          <t>05/11/2020</t>
        </is>
      </c>
      <c r="E53" s="20" t="inlineStr">
        <is>
          <t>Previous Year</t>
        </is>
      </c>
      <c r="F53" s="21" t="inlineStr">
        <is>
          <t>2024–25</t>
        </is>
      </c>
    </row>
    <row r="54" ht="18" customHeight="1">
      <c r="B54" s="20" t="inlineStr">
        <is>
          <t>Address</t>
        </is>
      </c>
      <c r="C54" s="21" t="inlineStr">
        <is>
          <t>12/A, Peenya Industrial Area 3rd Phase, Bengaluru, Karnataka – 560058</t>
        </is>
      </c>
      <c r="E54" s="20" t="inlineStr">
        <is>
          <t>Return Form</t>
        </is>
      </c>
      <c r="F54" s="21" t="inlineStr">
        <is>
          <t>ITR-6</t>
        </is>
      </c>
    </row>
    <row r="55" ht="18" customHeight="1">
      <c r="B55" s="20" t="inlineStr">
        <is>
          <t>State</t>
        </is>
      </c>
      <c r="C55" s="21" t="inlineStr">
        <is>
          <t>Karnataka</t>
        </is>
      </c>
      <c r="E55" s="20" t="inlineStr">
        <is>
          <t>Nature of Entity</t>
        </is>
      </c>
      <c r="F55" s="21" t="inlineStr">
        <is>
          <t>Domestic Company</t>
        </is>
      </c>
    </row>
    <row r="56" ht="18" customHeight="1">
      <c r="B56" s="20" t="inlineStr">
        <is>
          <t>Country</t>
        </is>
      </c>
      <c r="C56" s="21" t="inlineStr">
        <is>
          <t>India</t>
        </is>
      </c>
      <c r="E56" s="20" t="inlineStr">
        <is>
          <t>Nature of Business</t>
        </is>
      </c>
      <c r="F56" s="21" t="inlineStr">
        <is>
          <t>Organic Food Processing &amp; Packaging</t>
        </is>
      </c>
    </row>
    <row r="57" ht="18" customHeight="1">
      <c r="B57" s="22" t="n"/>
      <c r="C57" s="22" t="n"/>
      <c r="E57" s="20" t="inlineStr">
        <is>
          <t>Business Code</t>
        </is>
      </c>
      <c r="F57" s="21" t="inlineStr">
        <is>
          <t>10799</t>
        </is>
      </c>
    </row>
    <row r="58" ht="18" customHeight="1">
      <c r="B58" s="22" t="n"/>
      <c r="C58" s="22" t="n"/>
      <c r="E58" s="20" t="inlineStr">
        <is>
          <t>Gross Total Income</t>
        </is>
      </c>
      <c r="F58" s="21" t="inlineStr">
        <is>
          <t>₹24,000,000</t>
        </is>
      </c>
    </row>
    <row r="59" ht="18" customHeight="1">
      <c r="B59" s="22" t="n"/>
      <c r="C59" s="22" t="n"/>
      <c r="E59" s="20" t="inlineStr">
        <is>
          <t>Total Income</t>
        </is>
      </c>
      <c r="F59" s="21" t="inlineStr">
        <is>
          <t>₹21,000,000</t>
        </is>
      </c>
    </row>
    <row r="60" ht="18" customHeight="1">
      <c r="B60" s="22" t="n"/>
      <c r="C60" s="22" t="n"/>
      <c r="E60" s="20" t="inlineStr">
        <is>
          <t>Taxable Income</t>
        </is>
      </c>
      <c r="F60" s="21" t="inlineStr">
        <is>
          <t>₹21,000,000</t>
        </is>
      </c>
    </row>
    <row r="61" ht="18" customHeight="1">
      <c r="B61" s="22" t="n"/>
      <c r="C61" s="22" t="n"/>
      <c r="E61" s="20" t="inlineStr">
        <is>
          <t>Income Tax</t>
        </is>
      </c>
      <c r="F61" s="21" t="inlineStr">
        <is>
          <t>₹5,250,000</t>
        </is>
      </c>
    </row>
    <row r="62" ht="18" customHeight="1">
      <c r="B62" s="22" t="n"/>
      <c r="C62" s="22" t="n"/>
      <c r="E62" s="20" t="inlineStr">
        <is>
          <t>Health &amp; Education Cess</t>
        </is>
      </c>
      <c r="F62" s="21" t="inlineStr">
        <is>
          <t>₹210,000</t>
        </is>
      </c>
    </row>
    <row r="63" ht="18" customHeight="1">
      <c r="B63" s="22" t="n"/>
      <c r="C63" s="22" t="n"/>
      <c r="E63" s="20" t="inlineStr">
        <is>
          <t>Total Tax Liability</t>
        </is>
      </c>
      <c r="F63" s="21" t="inlineStr">
        <is>
          <t>₹5,460,000</t>
        </is>
      </c>
    </row>
    <row r="64" ht="18" customHeight="1">
      <c r="B64" s="22" t="n"/>
      <c r="C64" s="22" t="n"/>
      <c r="E64" s="20" t="inlineStr">
        <is>
          <t>TDS/TCS Credit</t>
        </is>
      </c>
      <c r="F64" s="21" t="inlineStr">
        <is>
          <t>₹450,000</t>
        </is>
      </c>
    </row>
    <row r="65" ht="18" customHeight="1">
      <c r="B65" s="22" t="n"/>
      <c r="C65" s="22" t="n"/>
      <c r="E65" s="20" t="inlineStr">
        <is>
          <t>Advance Tax Paid</t>
        </is>
      </c>
      <c r="F65" s="21" t="inlineStr">
        <is>
          <t>₹4,500,000</t>
        </is>
      </c>
    </row>
    <row r="66" ht="18" customHeight="1">
      <c r="B66" s="22" t="n"/>
      <c r="C66" s="22" t="n"/>
      <c r="E66" s="20" t="inlineStr">
        <is>
          <t>Self-Assessment Tax</t>
        </is>
      </c>
      <c r="F66" s="21" t="inlineStr">
        <is>
          <t>₹510,000</t>
        </is>
      </c>
    </row>
    <row r="67" ht="18" customHeight="1">
      <c r="B67" s="22" t="n"/>
      <c r="C67" s="22" t="n"/>
      <c r="E67" s="20" t="inlineStr">
        <is>
          <t>Return Filing Date</t>
        </is>
      </c>
      <c r="F67" s="21" t="inlineStr">
        <is>
          <t>28/09/2025</t>
        </is>
      </c>
    </row>
    <row r="68" ht="18" customHeight="1">
      <c r="B68" s="22" t="n"/>
      <c r="C68" s="22" t="n"/>
      <c r="E68" s="20" t="inlineStr">
        <is>
          <t>Authorized Signatory</t>
        </is>
      </c>
      <c r="F68" s="21" t="inlineStr">
        <is>
          <t>Venkatesh Rao</t>
        </is>
      </c>
    </row>
    <row r="69" ht="18" customHeight="1">
      <c r="B69" s="22" t="n"/>
      <c r="C69" s="22" t="n"/>
      <c r="E69" s="20" t="inlineStr">
        <is>
          <t>Designation</t>
        </is>
      </c>
      <c r="F69" s="21" t="inlineStr">
        <is>
          <t>Director</t>
        </is>
      </c>
    </row>
    <row r="71" ht="24" customHeight="1">
      <c r="B71" s="17" t="inlineStr">
        <is>
          <t>MOCK DATA SET 4: VIBRANT POLYMERS (BCEPV3456L)</t>
        </is>
      </c>
    </row>
    <row r="72" ht="20" customHeight="1">
      <c r="B72" s="18" t="inlineStr">
        <is>
          <t>PAN Details</t>
        </is>
      </c>
      <c r="E72" s="19" t="inlineStr">
        <is>
          <t>Income Tax Details</t>
        </is>
      </c>
    </row>
    <row r="73" ht="18" customHeight="1">
      <c r="B73" s="20" t="inlineStr">
        <is>
          <t>PAN</t>
        </is>
      </c>
      <c r="C73" s="21" t="inlineStr">
        <is>
          <t>BCEPV3456L</t>
        </is>
      </c>
      <c r="E73" s="20" t="inlineStr">
        <is>
          <t>PAN</t>
        </is>
      </c>
      <c r="F73" s="21" t="inlineStr">
        <is>
          <t>BCEPV3456L</t>
        </is>
      </c>
    </row>
    <row r="74" ht="18" customHeight="1">
      <c r="B74" s="20" t="inlineStr">
        <is>
          <t>Name as per PAN</t>
        </is>
      </c>
      <c r="C74" s="21" t="inlineStr">
        <is>
          <t>Vibrant Polymers</t>
        </is>
      </c>
      <c r="E74" s="20" t="inlineStr">
        <is>
          <t>Assessee Name</t>
        </is>
      </c>
      <c r="F74" s="21" t="inlineStr">
        <is>
          <t>Vibrant Polymers</t>
        </is>
      </c>
    </row>
    <row r="75" ht="18" customHeight="1">
      <c r="B75" s="20" t="inlineStr">
        <is>
          <t>PAN Holder Type</t>
        </is>
      </c>
      <c r="C75" s="21" t="inlineStr">
        <is>
          <t>Individual / Proprietorship</t>
        </is>
      </c>
      <c r="E75" s="20" t="inlineStr">
        <is>
          <t>Assessment Year</t>
        </is>
      </c>
      <c r="F75" s="21" t="inlineStr">
        <is>
          <t>2025–26</t>
        </is>
      </c>
    </row>
    <row r="76" ht="18" customHeight="1">
      <c r="B76" s="20" t="inlineStr">
        <is>
          <t>Date of Incorporation</t>
        </is>
      </c>
      <c r="C76" s="21" t="inlineStr">
        <is>
          <t>22/01/2018</t>
        </is>
      </c>
      <c r="E76" s="20" t="inlineStr">
        <is>
          <t>Previous Year</t>
        </is>
      </c>
      <c r="F76" s="21" t="inlineStr">
        <is>
          <t>2024–25</t>
        </is>
      </c>
    </row>
    <row r="77" ht="18" customHeight="1">
      <c r="B77" s="20" t="inlineStr">
        <is>
          <t>Address</t>
        </is>
      </c>
      <c r="C77" s="21" t="inlineStr">
        <is>
          <t>Shed 102, GIDC Vatva, Ahmedabad, Gujarat – 382445</t>
        </is>
      </c>
      <c r="E77" s="20" t="inlineStr">
        <is>
          <t>Return Form</t>
        </is>
      </c>
      <c r="F77" s="21" t="inlineStr">
        <is>
          <t>ITR-3</t>
        </is>
      </c>
    </row>
    <row r="78" ht="18" customHeight="1">
      <c r="B78" s="20" t="inlineStr">
        <is>
          <t>State</t>
        </is>
      </c>
      <c r="C78" s="21" t="inlineStr">
        <is>
          <t>Gujarat</t>
        </is>
      </c>
      <c r="E78" s="20" t="inlineStr">
        <is>
          <t>Nature of Entity</t>
        </is>
      </c>
      <c r="F78" s="21" t="inlineStr">
        <is>
          <t>Individual / HUF</t>
        </is>
      </c>
    </row>
    <row r="79" ht="18" customHeight="1">
      <c r="B79" s="20" t="inlineStr">
        <is>
          <t>Country</t>
        </is>
      </c>
      <c r="C79" s="21" t="inlineStr">
        <is>
          <t>India</t>
        </is>
      </c>
      <c r="E79" s="20" t="inlineStr">
        <is>
          <t>Nature of Business</t>
        </is>
      </c>
      <c r="F79" s="21" t="inlineStr">
        <is>
          <t>Manufacture of Plastic &amp; Polymer Products</t>
        </is>
      </c>
    </row>
    <row r="80" ht="18" customHeight="1">
      <c r="B80" s="22" t="n"/>
      <c r="C80" s="22" t="n"/>
      <c r="E80" s="20" t="inlineStr">
        <is>
          <t>Business Code</t>
        </is>
      </c>
      <c r="F80" s="21" t="inlineStr">
        <is>
          <t>22209</t>
        </is>
      </c>
    </row>
    <row r="81" ht="18" customHeight="1">
      <c r="B81" s="22" t="n"/>
      <c r="C81" s="22" t="n"/>
      <c r="E81" s="20" t="inlineStr">
        <is>
          <t>Gross Total Income</t>
        </is>
      </c>
      <c r="F81" s="21" t="inlineStr">
        <is>
          <t>₹10,500,000</t>
        </is>
      </c>
    </row>
    <row r="82" ht="18" customHeight="1">
      <c r="B82" s="22" t="n"/>
      <c r="C82" s="22" t="n"/>
      <c r="E82" s="20" t="inlineStr">
        <is>
          <t>Total Income</t>
        </is>
      </c>
      <c r="F82" s="21" t="inlineStr">
        <is>
          <t>₹9,800,000</t>
        </is>
      </c>
    </row>
    <row r="83" ht="18" customHeight="1">
      <c r="B83" s="22" t="n"/>
      <c r="C83" s="22" t="n"/>
      <c r="E83" s="20" t="inlineStr">
        <is>
          <t>Taxable Income</t>
        </is>
      </c>
      <c r="F83" s="21" t="inlineStr">
        <is>
          <t>₹9,800,000</t>
        </is>
      </c>
    </row>
    <row r="84" ht="18" customHeight="1">
      <c r="B84" s="22" t="n"/>
      <c r="C84" s="22" t="n"/>
      <c r="E84" s="20" t="inlineStr">
        <is>
          <t>Income Tax</t>
        </is>
      </c>
      <c r="F84" s="21" t="inlineStr">
        <is>
          <t>₹2,940,000</t>
        </is>
      </c>
    </row>
    <row r="85" ht="18" customHeight="1">
      <c r="B85" s="22" t="n"/>
      <c r="C85" s="22" t="n"/>
      <c r="E85" s="20" t="inlineStr">
        <is>
          <t>Health &amp; Education Cess</t>
        </is>
      </c>
      <c r="F85" s="21" t="inlineStr">
        <is>
          <t>₹117,600</t>
        </is>
      </c>
    </row>
    <row r="86" ht="18" customHeight="1">
      <c r="B86" s="22" t="n"/>
      <c r="C86" s="22" t="n"/>
      <c r="E86" s="20" t="inlineStr">
        <is>
          <t>Total Tax Liability</t>
        </is>
      </c>
      <c r="F86" s="21" t="inlineStr">
        <is>
          <t>₹3,057,600</t>
        </is>
      </c>
    </row>
    <row r="87" ht="18" customHeight="1">
      <c r="B87" s="22" t="n"/>
      <c r="C87" s="22" t="n"/>
      <c r="E87" s="20" t="inlineStr">
        <is>
          <t>TDS/TCS Credit</t>
        </is>
      </c>
      <c r="F87" s="21" t="inlineStr">
        <is>
          <t>₹210,000</t>
        </is>
      </c>
    </row>
    <row r="88" ht="18" customHeight="1">
      <c r="B88" s="22" t="n"/>
      <c r="C88" s="22" t="n"/>
      <c r="E88" s="20" t="inlineStr">
        <is>
          <t>Advance Tax Paid</t>
        </is>
      </c>
      <c r="F88" s="21" t="inlineStr">
        <is>
          <t>₹2,600,000</t>
        </is>
      </c>
    </row>
    <row r="89" ht="18" customHeight="1">
      <c r="B89" s="22" t="n"/>
      <c r="C89" s="22" t="n"/>
      <c r="E89" s="20" t="inlineStr">
        <is>
          <t>Self-Assessment Tax</t>
        </is>
      </c>
      <c r="F89" s="21" t="inlineStr">
        <is>
          <t>₹247,600</t>
        </is>
      </c>
    </row>
    <row r="90" ht="18" customHeight="1">
      <c r="B90" s="22" t="n"/>
      <c r="C90" s="22" t="n"/>
      <c r="E90" s="20" t="inlineStr">
        <is>
          <t>Return Filing Date</t>
        </is>
      </c>
      <c r="F90" s="21" t="inlineStr">
        <is>
          <t>25/10/2025</t>
        </is>
      </c>
    </row>
    <row r="91" ht="18" customHeight="1">
      <c r="B91" s="22" t="n"/>
      <c r="C91" s="22" t="n"/>
      <c r="E91" s="20" t="inlineStr">
        <is>
          <t>Authorized Signatory</t>
        </is>
      </c>
      <c r="F91" s="21" t="inlineStr">
        <is>
          <t>Vikram Patel</t>
        </is>
      </c>
    </row>
    <row r="92" ht="18" customHeight="1">
      <c r="B92" s="22" t="n"/>
      <c r="C92" s="22" t="n"/>
      <c r="E92" s="20" t="inlineStr">
        <is>
          <t>Designation</t>
        </is>
      </c>
      <c r="F92" s="21" t="inlineStr">
        <is>
          <t>Proprietor</t>
        </is>
      </c>
    </row>
    <row r="94" ht="24" customHeight="1">
      <c r="B94" s="17" t="inlineStr">
        <is>
          <t>MOCK DATA SET 5: NEXTGEN CLOUD INFORMATICS PVT LTD (AABCN7890M)</t>
        </is>
      </c>
    </row>
    <row r="95" ht="20" customHeight="1">
      <c r="B95" s="18" t="inlineStr">
        <is>
          <t>PAN Details</t>
        </is>
      </c>
      <c r="E95" s="19" t="inlineStr">
        <is>
          <t>Income Tax Details</t>
        </is>
      </c>
    </row>
    <row r="96" ht="18" customHeight="1">
      <c r="B96" s="20" t="inlineStr">
        <is>
          <t>PAN</t>
        </is>
      </c>
      <c r="C96" s="21" t="inlineStr">
        <is>
          <t>AABCN7890M</t>
        </is>
      </c>
      <c r="E96" s="20" t="inlineStr">
        <is>
          <t>PAN</t>
        </is>
      </c>
      <c r="F96" s="21" t="inlineStr">
        <is>
          <t>AABCN7890M</t>
        </is>
      </c>
    </row>
    <row r="97" ht="18" customHeight="1">
      <c r="B97" s="20" t="inlineStr">
        <is>
          <t>Name as per PAN</t>
        </is>
      </c>
      <c r="C97" s="21" t="inlineStr">
        <is>
          <t>NextGen Cloud Informatics Pvt Ltd</t>
        </is>
      </c>
      <c r="E97" s="20" t="inlineStr">
        <is>
          <t>Assessee Name</t>
        </is>
      </c>
      <c r="F97" s="21" t="inlineStr">
        <is>
          <t>NextGen Cloud Informatics Pvt Ltd</t>
        </is>
      </c>
    </row>
    <row r="98" ht="18" customHeight="1">
      <c r="B98" s="20" t="inlineStr">
        <is>
          <t>PAN Holder Type</t>
        </is>
      </c>
      <c r="C98" s="21" t="inlineStr">
        <is>
          <t>Company</t>
        </is>
      </c>
      <c r="E98" s="20" t="inlineStr">
        <is>
          <t>Assessment Year</t>
        </is>
      </c>
      <c r="F98" s="21" t="inlineStr">
        <is>
          <t>2025–26</t>
        </is>
      </c>
    </row>
    <row r="99" ht="18" customHeight="1">
      <c r="B99" s="20" t="inlineStr">
        <is>
          <t>Date of Incorporation</t>
        </is>
      </c>
      <c r="C99" s="21" t="inlineStr">
        <is>
          <t>18/06/2021</t>
        </is>
      </c>
      <c r="E99" s="20" t="inlineStr">
        <is>
          <t>Previous Year</t>
        </is>
      </c>
      <c r="F99" s="21" t="inlineStr">
        <is>
          <t>2024–25</t>
        </is>
      </c>
    </row>
    <row r="100" ht="18" customHeight="1">
      <c r="B100" s="20" t="inlineStr">
        <is>
          <t>Address</t>
        </is>
      </c>
      <c r="C100" s="21" t="inlineStr">
        <is>
          <t>B-14, Okhla Industrial Area Phase-II, New Delhi, Delhi – 110020</t>
        </is>
      </c>
      <c r="E100" s="20" t="inlineStr">
        <is>
          <t>Return Form</t>
        </is>
      </c>
      <c r="F100" s="21" t="inlineStr">
        <is>
          <t>ITR-6</t>
        </is>
      </c>
    </row>
    <row r="101" ht="18" customHeight="1">
      <c r="B101" s="20" t="inlineStr">
        <is>
          <t>State</t>
        </is>
      </c>
      <c r="C101" s="21" t="inlineStr">
        <is>
          <t>Delhi</t>
        </is>
      </c>
      <c r="E101" s="20" t="inlineStr">
        <is>
          <t>Nature of Entity</t>
        </is>
      </c>
      <c r="F101" s="21" t="inlineStr">
        <is>
          <t>Domestic Company</t>
        </is>
      </c>
    </row>
    <row r="102" ht="18" customHeight="1">
      <c r="B102" s="20" t="inlineStr">
        <is>
          <t>Country</t>
        </is>
      </c>
      <c r="C102" s="21" t="inlineStr">
        <is>
          <t>India</t>
        </is>
      </c>
      <c r="E102" s="20" t="inlineStr">
        <is>
          <t>Nature of Business</t>
        </is>
      </c>
      <c r="F102" s="21" t="inlineStr">
        <is>
          <t>Cloud Informatics &amp; IT Consultancy</t>
        </is>
      </c>
    </row>
    <row r="103" ht="18" customHeight="1">
      <c r="B103" s="22" t="n"/>
      <c r="C103" s="22" t="n"/>
      <c r="E103" s="20" t="inlineStr">
        <is>
          <t>Business Code</t>
        </is>
      </c>
      <c r="F103" s="21" t="inlineStr">
        <is>
          <t>62020</t>
        </is>
      </c>
    </row>
    <row r="104" ht="18" customHeight="1">
      <c r="B104" s="22" t="n"/>
      <c r="C104" s="22" t="n"/>
      <c r="E104" s="20" t="inlineStr">
        <is>
          <t>Gross Total Income</t>
        </is>
      </c>
      <c r="F104" s="21" t="inlineStr">
        <is>
          <t>₹19,500,000</t>
        </is>
      </c>
    </row>
    <row r="105" ht="18" customHeight="1">
      <c r="B105" s="22" t="n"/>
      <c r="C105" s="22" t="n"/>
      <c r="E105" s="20" t="inlineStr">
        <is>
          <t>Total Income</t>
        </is>
      </c>
      <c r="F105" s="21" t="inlineStr">
        <is>
          <t>₹18,000,000</t>
        </is>
      </c>
    </row>
    <row r="106" ht="18" customHeight="1">
      <c r="B106" s="22" t="n"/>
      <c r="C106" s="22" t="n"/>
      <c r="E106" s="20" t="inlineStr">
        <is>
          <t>Taxable Income</t>
        </is>
      </c>
      <c r="F106" s="21" t="inlineStr">
        <is>
          <t>₹18,000,000</t>
        </is>
      </c>
    </row>
    <row r="107" ht="18" customHeight="1">
      <c r="B107" s="22" t="n"/>
      <c r="C107" s="22" t="n"/>
      <c r="E107" s="20" t="inlineStr">
        <is>
          <t>Income Tax</t>
        </is>
      </c>
      <c r="F107" s="21" t="inlineStr">
        <is>
          <t>₹4,500,000</t>
        </is>
      </c>
    </row>
    <row r="108" ht="18" customHeight="1">
      <c r="B108" s="22" t="n"/>
      <c r="C108" s="22" t="n"/>
      <c r="E108" s="20" t="inlineStr">
        <is>
          <t>Health &amp; Education Cess</t>
        </is>
      </c>
      <c r="F108" s="21" t="inlineStr">
        <is>
          <t>₹180,000</t>
        </is>
      </c>
    </row>
    <row r="109" ht="18" customHeight="1">
      <c r="B109" s="22" t="n"/>
      <c r="C109" s="22" t="n"/>
      <c r="E109" s="20" t="inlineStr">
        <is>
          <t>Total Tax Liability</t>
        </is>
      </c>
      <c r="F109" s="21" t="inlineStr">
        <is>
          <t>₹4,680,000</t>
        </is>
      </c>
    </row>
    <row r="110" ht="18" customHeight="1">
      <c r="B110" s="22" t="n"/>
      <c r="C110" s="22" t="n"/>
      <c r="E110" s="20" t="inlineStr">
        <is>
          <t>TDS/TCS Credit</t>
        </is>
      </c>
      <c r="F110" s="21" t="inlineStr">
        <is>
          <t>₹950,000</t>
        </is>
      </c>
    </row>
    <row r="111" ht="18" customHeight="1">
      <c r="B111" s="22" t="n"/>
      <c r="C111" s="22" t="n"/>
      <c r="E111" s="20" t="inlineStr">
        <is>
          <t>Advance Tax Paid</t>
        </is>
      </c>
      <c r="F111" s="21" t="inlineStr">
        <is>
          <t>₹3,500,000</t>
        </is>
      </c>
    </row>
    <row r="112" ht="18" customHeight="1">
      <c r="B112" s="22" t="n"/>
      <c r="C112" s="22" t="n"/>
      <c r="E112" s="20" t="inlineStr">
        <is>
          <t>Self-Assessment Tax</t>
        </is>
      </c>
      <c r="F112" s="21" t="inlineStr">
        <is>
          <t>₹230,000</t>
        </is>
      </c>
    </row>
    <row r="113" ht="18" customHeight="1">
      <c r="B113" s="22" t="n"/>
      <c r="C113" s="22" t="n"/>
      <c r="E113" s="20" t="inlineStr">
        <is>
          <t>Return Filing Date</t>
        </is>
      </c>
      <c r="F113" s="21" t="inlineStr">
        <is>
          <t>29/09/2025</t>
        </is>
      </c>
    </row>
    <row r="114" ht="18" customHeight="1">
      <c r="B114" s="22" t="n"/>
      <c r="C114" s="22" t="n"/>
      <c r="E114" s="20" t="inlineStr">
        <is>
          <t>Authorized Signatory</t>
        </is>
      </c>
      <c r="F114" s="21" t="inlineStr">
        <is>
          <t>Neha Sharma</t>
        </is>
      </c>
    </row>
    <row r="115" ht="18" customHeight="1">
      <c r="B115" s="22" t="n"/>
      <c r="C115" s="22" t="n"/>
      <c r="E115" s="20" t="inlineStr">
        <is>
          <t>Designation</t>
        </is>
      </c>
      <c r="F115" s="21" t="inlineStr">
        <is>
          <t>Director</t>
        </is>
      </c>
    </row>
    <row r="117" ht="24" customHeight="1">
      <c r="B117" s="17" t="inlineStr">
        <is>
          <t>MOCK DATA SET 6: BIOMED LIFESCIENCES LLP (AAFFB2345P)</t>
        </is>
      </c>
    </row>
    <row r="118" ht="20" customHeight="1">
      <c r="B118" s="18" t="inlineStr">
        <is>
          <t>PAN Details</t>
        </is>
      </c>
      <c r="E118" s="19" t="inlineStr">
        <is>
          <t>Income Tax Details</t>
        </is>
      </c>
    </row>
    <row r="119" ht="18" customHeight="1">
      <c r="B119" s="20" t="inlineStr">
        <is>
          <t>PAN</t>
        </is>
      </c>
      <c r="C119" s="21" t="inlineStr">
        <is>
          <t>AAFFB2345P</t>
        </is>
      </c>
      <c r="E119" s="20" t="inlineStr">
        <is>
          <t>PAN</t>
        </is>
      </c>
      <c r="F119" s="21" t="inlineStr">
        <is>
          <t>AAFFB2345P</t>
        </is>
      </c>
    </row>
    <row r="120" ht="18" customHeight="1">
      <c r="B120" s="20" t="inlineStr">
        <is>
          <t>Name as per PAN</t>
        </is>
      </c>
      <c r="C120" s="21" t="inlineStr">
        <is>
          <t>BioMed Lifesciences LLP</t>
        </is>
      </c>
      <c r="E120" s="20" t="inlineStr">
        <is>
          <t>Assessee Name</t>
        </is>
      </c>
      <c r="F120" s="21" t="inlineStr">
        <is>
          <t>BioMed Lifesciences LLP</t>
        </is>
      </c>
    </row>
    <row r="121" ht="18" customHeight="1">
      <c r="B121" s="20" t="inlineStr">
        <is>
          <t>PAN Holder Type</t>
        </is>
      </c>
      <c r="C121" s="21" t="inlineStr">
        <is>
          <t>Limited Liability Partnership</t>
        </is>
      </c>
      <c r="E121" s="20" t="inlineStr">
        <is>
          <t>Assessment Year</t>
        </is>
      </c>
      <c r="F121" s="21" t="inlineStr">
        <is>
          <t>2025–26</t>
        </is>
      </c>
    </row>
    <row r="122" ht="18" customHeight="1">
      <c r="B122" s="20" t="inlineStr">
        <is>
          <t>Date of Incorporation</t>
        </is>
      </c>
      <c r="C122" s="21" t="inlineStr">
        <is>
          <t>09/09/2017</t>
        </is>
      </c>
      <c r="E122" s="20" t="inlineStr">
        <is>
          <t>Previous Year</t>
        </is>
      </c>
      <c r="F122" s="21" t="inlineStr">
        <is>
          <t>2024–25</t>
        </is>
      </c>
    </row>
    <row r="123" ht="18" customHeight="1">
      <c r="B123" s="20" t="inlineStr">
        <is>
          <t>Address</t>
        </is>
      </c>
      <c r="C123" s="21" t="inlineStr">
        <is>
          <t>Plot 18/B, Genome Valley, Shamirpet, Hyderabad, Telangana – 500078</t>
        </is>
      </c>
      <c r="E123" s="20" t="inlineStr">
        <is>
          <t>Return Form</t>
        </is>
      </c>
      <c r="F123" s="21" t="inlineStr">
        <is>
          <t>ITR-5</t>
        </is>
      </c>
    </row>
    <row r="124" ht="18" customHeight="1">
      <c r="B124" s="20" t="inlineStr">
        <is>
          <t>State</t>
        </is>
      </c>
      <c r="C124" s="21" t="inlineStr">
        <is>
          <t>Telangana</t>
        </is>
      </c>
      <c r="E124" s="20" t="inlineStr">
        <is>
          <t>Nature of Entity</t>
        </is>
      </c>
      <c r="F124" s="21" t="inlineStr">
        <is>
          <t>LLP / Firm</t>
        </is>
      </c>
    </row>
    <row r="125" ht="18" customHeight="1">
      <c r="B125" s="20" t="inlineStr">
        <is>
          <t>Country</t>
        </is>
      </c>
      <c r="C125" s="21" t="inlineStr">
        <is>
          <t>India</t>
        </is>
      </c>
      <c r="E125" s="20" t="inlineStr">
        <is>
          <t>Nature of Business</t>
        </is>
      </c>
      <c r="F125" s="21" t="inlineStr">
        <is>
          <t>Pharmaceutical &amp; Biomedical Preparations</t>
        </is>
      </c>
    </row>
    <row r="126" ht="18" customHeight="1">
      <c r="B126" s="22" t="n"/>
      <c r="C126" s="22" t="n"/>
      <c r="E126" s="20" t="inlineStr">
        <is>
          <t>Business Code</t>
        </is>
      </c>
      <c r="F126" s="21" t="inlineStr">
        <is>
          <t>21002</t>
        </is>
      </c>
    </row>
    <row r="127" ht="18" customHeight="1">
      <c r="B127" s="22" t="n"/>
      <c r="C127" s="22" t="n"/>
      <c r="E127" s="20" t="inlineStr">
        <is>
          <t>Gross Total Income</t>
        </is>
      </c>
      <c r="F127" s="21" t="inlineStr">
        <is>
          <t>₹760,000,000</t>
        </is>
      </c>
    </row>
    <row r="128" ht="18" customHeight="1">
      <c r="B128" s="22" t="n"/>
      <c r="C128" s="22" t="n"/>
      <c r="E128" s="20" t="inlineStr">
        <is>
          <t>Total Income</t>
        </is>
      </c>
      <c r="F128" s="21" t="inlineStr">
        <is>
          <t>₹720,000,000</t>
        </is>
      </c>
    </row>
    <row r="129" ht="18" customHeight="1">
      <c r="B129" s="22" t="n"/>
      <c r="C129" s="22" t="n"/>
      <c r="E129" s="20" t="inlineStr">
        <is>
          <t>Taxable Income</t>
        </is>
      </c>
      <c r="F129" s="21" t="inlineStr">
        <is>
          <t>₹720,000,000</t>
        </is>
      </c>
    </row>
    <row r="130" ht="18" customHeight="1">
      <c r="B130" s="22" t="n"/>
      <c r="C130" s="22" t="n"/>
      <c r="E130" s="20" t="inlineStr">
        <is>
          <t>Income Tax</t>
        </is>
      </c>
      <c r="F130" s="21" t="inlineStr">
        <is>
          <t>₹216,000,000</t>
        </is>
      </c>
    </row>
    <row r="131" ht="18" customHeight="1">
      <c r="B131" s="22" t="n"/>
      <c r="C131" s="22" t="n"/>
      <c r="E131" s="20" t="inlineStr">
        <is>
          <t>Health &amp; Education Cess</t>
        </is>
      </c>
      <c r="F131" s="21" t="inlineStr">
        <is>
          <t>₹8,640,000</t>
        </is>
      </c>
    </row>
    <row r="132" ht="18" customHeight="1">
      <c r="B132" s="22" t="n"/>
      <c r="C132" s="22" t="n"/>
      <c r="E132" s="20" t="inlineStr">
        <is>
          <t>Total Tax Liability</t>
        </is>
      </c>
      <c r="F132" s="21" t="inlineStr">
        <is>
          <t>₹224,640,000</t>
        </is>
      </c>
    </row>
    <row r="133" ht="18" customHeight="1">
      <c r="B133" s="22" t="n"/>
      <c r="C133" s="22" t="n"/>
      <c r="E133" s="20" t="inlineStr">
        <is>
          <t>TDS/TCS Credit</t>
        </is>
      </c>
      <c r="F133" s="21" t="inlineStr">
        <is>
          <t>₹15,500,000</t>
        </is>
      </c>
    </row>
    <row r="134" ht="18" customHeight="1">
      <c r="B134" s="22" t="n"/>
      <c r="C134" s="22" t="n"/>
      <c r="E134" s="20" t="inlineStr">
        <is>
          <t>Advance Tax Paid</t>
        </is>
      </c>
      <c r="F134" s="21" t="inlineStr">
        <is>
          <t>₹195,000,000</t>
        </is>
      </c>
    </row>
    <row r="135" ht="18" customHeight="1">
      <c r="B135" s="22" t="n"/>
      <c r="C135" s="22" t="n"/>
      <c r="E135" s="20" t="inlineStr">
        <is>
          <t>Self-Assessment Tax</t>
        </is>
      </c>
      <c r="F135" s="21" t="inlineStr">
        <is>
          <t>₹14,140,000</t>
        </is>
      </c>
    </row>
    <row r="136" ht="18" customHeight="1">
      <c r="B136" s="22" t="n"/>
      <c r="C136" s="22" t="n"/>
      <c r="E136" s="20" t="inlineStr">
        <is>
          <t>Return Filing Date</t>
        </is>
      </c>
      <c r="F136" s="21" t="inlineStr">
        <is>
          <t>20/10/2025</t>
        </is>
      </c>
    </row>
    <row r="137" ht="18" customHeight="1">
      <c r="B137" s="22" t="n"/>
      <c r="C137" s="22" t="n"/>
      <c r="E137" s="20" t="inlineStr">
        <is>
          <t>Authorized Signatory</t>
        </is>
      </c>
      <c r="F137" s="21" t="inlineStr">
        <is>
          <t>Dr. Suresh Reddy</t>
        </is>
      </c>
    </row>
    <row r="138" ht="18" customHeight="1">
      <c r="B138" s="22" t="n"/>
      <c r="C138" s="22" t="n"/>
      <c r="E138" s="20" t="inlineStr">
        <is>
          <t>Designation</t>
        </is>
      </c>
      <c r="F138" s="21" t="inlineStr">
        <is>
          <t>Managing Partner</t>
        </is>
      </c>
    </row>
    <row r="140" ht="24" customHeight="1">
      <c r="B140" s="17" t="inlineStr">
        <is>
          <t>MOCK DATA SET 7: BENGAL LOOM &amp; CRAFTS (AAAFB9876C)</t>
        </is>
      </c>
    </row>
    <row r="141" ht="20" customHeight="1">
      <c r="B141" s="18" t="inlineStr">
        <is>
          <t>PAN Details</t>
        </is>
      </c>
      <c r="E141" s="19" t="inlineStr">
        <is>
          <t>Income Tax Details</t>
        </is>
      </c>
    </row>
    <row r="142" ht="18" customHeight="1">
      <c r="B142" s="20" t="inlineStr">
        <is>
          <t>PAN</t>
        </is>
      </c>
      <c r="C142" s="21" t="inlineStr">
        <is>
          <t>AAAFB9876C</t>
        </is>
      </c>
      <c r="E142" s="20" t="inlineStr">
        <is>
          <t>PAN</t>
        </is>
      </c>
      <c r="F142" s="21" t="inlineStr">
        <is>
          <t>AAAFB9876C</t>
        </is>
      </c>
    </row>
    <row r="143" ht="18" customHeight="1">
      <c r="B143" s="20" t="inlineStr">
        <is>
          <t>Name as per PAN</t>
        </is>
      </c>
      <c r="C143" s="21" t="inlineStr">
        <is>
          <t>Bengal Loom &amp; Crafts</t>
        </is>
      </c>
      <c r="E143" s="20" t="inlineStr">
        <is>
          <t>Assessee Name</t>
        </is>
      </c>
      <c r="F143" s="21" t="inlineStr">
        <is>
          <t>Bengal Loom &amp; Crafts</t>
        </is>
      </c>
    </row>
    <row r="144" ht="18" customHeight="1">
      <c r="B144" s="20" t="inlineStr">
        <is>
          <t>PAN Holder Type</t>
        </is>
      </c>
      <c r="C144" s="21" t="inlineStr">
        <is>
          <t>Partnership Firm</t>
        </is>
      </c>
      <c r="E144" s="20" t="inlineStr">
        <is>
          <t>Assessment Year</t>
        </is>
      </c>
      <c r="F144" s="21" t="inlineStr">
        <is>
          <t>2025–26</t>
        </is>
      </c>
    </row>
    <row r="145" ht="18" customHeight="1">
      <c r="B145" s="20" t="inlineStr">
        <is>
          <t>Date of Incorporation</t>
        </is>
      </c>
      <c r="C145" s="21" t="inlineStr">
        <is>
          <t>11/02/2015</t>
        </is>
      </c>
      <c r="E145" s="20" t="inlineStr">
        <is>
          <t>Previous Year</t>
        </is>
      </c>
      <c r="F145" s="21" t="inlineStr">
        <is>
          <t>2024–25</t>
        </is>
      </c>
    </row>
    <row r="146" ht="18" customHeight="1">
      <c r="B146" s="20" t="inlineStr">
        <is>
          <t>Address</t>
        </is>
      </c>
      <c r="C146" s="21" t="inlineStr">
        <is>
          <t>78, Grand Trunk Road, Bally, Howrah, West Bengal – 711201</t>
        </is>
      </c>
      <c r="E146" s="20" t="inlineStr">
        <is>
          <t>Return Form</t>
        </is>
      </c>
      <c r="F146" s="21" t="inlineStr">
        <is>
          <t>ITR-5</t>
        </is>
      </c>
    </row>
    <row r="147" ht="18" customHeight="1">
      <c r="B147" s="20" t="inlineStr">
        <is>
          <t>State</t>
        </is>
      </c>
      <c r="C147" s="21" t="inlineStr">
        <is>
          <t>West Bengal</t>
        </is>
      </c>
      <c r="E147" s="20" t="inlineStr">
        <is>
          <t>Nature of Entity</t>
        </is>
      </c>
      <c r="F147" s="21" t="inlineStr">
        <is>
          <t>Partnership Firm</t>
        </is>
      </c>
    </row>
    <row r="148" ht="18" customHeight="1">
      <c r="B148" s="20" t="inlineStr">
        <is>
          <t>Country</t>
        </is>
      </c>
      <c r="C148" s="21" t="inlineStr">
        <is>
          <t>India</t>
        </is>
      </c>
      <c r="E148" s="20" t="inlineStr">
        <is>
          <t>Nature of Business</t>
        </is>
      </c>
      <c r="F148" s="21" t="inlineStr">
        <is>
          <t>Manufacture of Woven Cotton Fabrics</t>
        </is>
      </c>
    </row>
    <row r="149" ht="18" customHeight="1">
      <c r="B149" s="22" t="n"/>
      <c r="C149" s="22" t="n"/>
      <c r="E149" s="20" t="inlineStr">
        <is>
          <t>Business Code</t>
        </is>
      </c>
      <c r="F149" s="21" t="inlineStr">
        <is>
          <t>13121</t>
        </is>
      </c>
    </row>
    <row r="150" ht="18" customHeight="1">
      <c r="B150" s="22" t="n"/>
      <c r="C150" s="22" t="n"/>
      <c r="E150" s="20" t="inlineStr">
        <is>
          <t>Gross Total Income</t>
        </is>
      </c>
      <c r="F150" s="21" t="inlineStr">
        <is>
          <t>₹13,500,000</t>
        </is>
      </c>
    </row>
    <row r="151" ht="18" customHeight="1">
      <c r="B151" s="22" t="n"/>
      <c r="C151" s="22" t="n"/>
      <c r="E151" s="20" t="inlineStr">
        <is>
          <t>Total Income</t>
        </is>
      </c>
      <c r="F151" s="21" t="inlineStr">
        <is>
          <t>₹12,500,000</t>
        </is>
      </c>
    </row>
    <row r="152" ht="18" customHeight="1">
      <c r="B152" s="22" t="n"/>
      <c r="C152" s="22" t="n"/>
      <c r="E152" s="20" t="inlineStr">
        <is>
          <t>Taxable Income</t>
        </is>
      </c>
      <c r="F152" s="21" t="inlineStr">
        <is>
          <t>₹12,500,000</t>
        </is>
      </c>
    </row>
    <row r="153" ht="18" customHeight="1">
      <c r="B153" s="22" t="n"/>
      <c r="C153" s="22" t="n"/>
      <c r="E153" s="20" t="inlineStr">
        <is>
          <t>Income Tax</t>
        </is>
      </c>
      <c r="F153" s="21" t="inlineStr">
        <is>
          <t>₹3,750,000</t>
        </is>
      </c>
    </row>
    <row r="154" ht="18" customHeight="1">
      <c r="B154" s="22" t="n"/>
      <c r="C154" s="22" t="n"/>
      <c r="E154" s="20" t="inlineStr">
        <is>
          <t>Health &amp; Education Cess</t>
        </is>
      </c>
      <c r="F154" s="21" t="inlineStr">
        <is>
          <t>₹150,000</t>
        </is>
      </c>
    </row>
    <row r="155" ht="18" customHeight="1">
      <c r="B155" s="22" t="n"/>
      <c r="C155" s="22" t="n"/>
      <c r="E155" s="20" t="inlineStr">
        <is>
          <t>Total Tax Liability</t>
        </is>
      </c>
      <c r="F155" s="21" t="inlineStr">
        <is>
          <t>₹3,900,000</t>
        </is>
      </c>
    </row>
    <row r="156" ht="18" customHeight="1">
      <c r="B156" s="22" t="n"/>
      <c r="C156" s="22" t="n"/>
      <c r="E156" s="20" t="inlineStr">
        <is>
          <t>TDS/TCS Credit</t>
        </is>
      </c>
      <c r="F156" s="21" t="inlineStr">
        <is>
          <t>₹280,000</t>
        </is>
      </c>
    </row>
    <row r="157" ht="18" customHeight="1">
      <c r="B157" s="22" t="n"/>
      <c r="C157" s="22" t="n"/>
      <c r="E157" s="20" t="inlineStr">
        <is>
          <t>Advance Tax Paid</t>
        </is>
      </c>
      <c r="F157" s="21" t="inlineStr">
        <is>
          <t>₹3,400,000</t>
        </is>
      </c>
    </row>
    <row r="158" ht="18" customHeight="1">
      <c r="B158" s="22" t="n"/>
      <c r="C158" s="22" t="n"/>
      <c r="E158" s="20" t="inlineStr">
        <is>
          <t>Self-Assessment Tax</t>
        </is>
      </c>
      <c r="F158" s="21" t="inlineStr">
        <is>
          <t>₹220,000</t>
        </is>
      </c>
    </row>
    <row r="159" ht="18" customHeight="1">
      <c r="B159" s="22" t="n"/>
      <c r="C159" s="22" t="n"/>
      <c r="E159" s="20" t="inlineStr">
        <is>
          <t>Return Filing Date</t>
        </is>
      </c>
      <c r="F159" s="21" t="inlineStr">
        <is>
          <t>18/10/2025</t>
        </is>
      </c>
    </row>
    <row r="160" ht="18" customHeight="1">
      <c r="B160" s="22" t="n"/>
      <c r="C160" s="22" t="n"/>
      <c r="E160" s="20" t="inlineStr">
        <is>
          <t>Authorized Signatory</t>
        </is>
      </c>
      <c r="F160" s="21" t="inlineStr">
        <is>
          <t>Subhash Chatterjee</t>
        </is>
      </c>
    </row>
    <row r="161" ht="18" customHeight="1">
      <c r="B161" s="22" t="n"/>
      <c r="C161" s="22" t="n"/>
      <c r="E161" s="20" t="inlineStr">
        <is>
          <t>Designation</t>
        </is>
      </c>
      <c r="F161" s="21" t="inlineStr">
        <is>
          <t>Partner</t>
        </is>
      </c>
    </row>
    <row r="163" ht="24" customHeight="1">
      <c r="B163" s="17" t="inlineStr">
        <is>
          <t>MOCK DATA SET 8: SHREE KRISHNA AGRO IMPLEMENTS (BTYPS6543Q)</t>
        </is>
      </c>
    </row>
    <row r="164" ht="20" customHeight="1">
      <c r="B164" s="18" t="inlineStr">
        <is>
          <t>PAN Details</t>
        </is>
      </c>
      <c r="E164" s="19" t="inlineStr">
        <is>
          <t>Income Tax Details</t>
        </is>
      </c>
    </row>
    <row r="165" ht="18" customHeight="1">
      <c r="B165" s="20" t="inlineStr">
        <is>
          <t>PAN</t>
        </is>
      </c>
      <c r="C165" s="21" t="inlineStr">
        <is>
          <t>BTYPS6543Q</t>
        </is>
      </c>
      <c r="E165" s="20" t="inlineStr">
        <is>
          <t>PAN</t>
        </is>
      </c>
      <c r="F165" s="21" t="inlineStr">
        <is>
          <t>BTYPS6543Q</t>
        </is>
      </c>
    </row>
    <row r="166" ht="18" customHeight="1">
      <c r="B166" s="20" t="inlineStr">
        <is>
          <t>Name as per PAN</t>
        </is>
      </c>
      <c r="C166" s="21" t="inlineStr">
        <is>
          <t>Shree Krishna Agro Implements</t>
        </is>
      </c>
      <c r="E166" s="20" t="inlineStr">
        <is>
          <t>Assessee Name</t>
        </is>
      </c>
      <c r="F166" s="21" t="inlineStr">
        <is>
          <t>Shree Krishna Agro Implements</t>
        </is>
      </c>
    </row>
    <row r="167" ht="18" customHeight="1">
      <c r="B167" s="20" t="inlineStr">
        <is>
          <t>PAN Holder Type</t>
        </is>
      </c>
      <c r="C167" s="21" t="inlineStr">
        <is>
          <t>Individual / Proprietorship</t>
        </is>
      </c>
      <c r="E167" s="20" t="inlineStr">
        <is>
          <t>Assessment Year</t>
        </is>
      </c>
      <c r="F167" s="21" t="inlineStr">
        <is>
          <t>2025–26</t>
        </is>
      </c>
    </row>
    <row r="168" ht="18" customHeight="1">
      <c r="B168" s="20" t="inlineStr">
        <is>
          <t>Date of Incorporation</t>
        </is>
      </c>
      <c r="C168" s="21" t="inlineStr">
        <is>
          <t>01/04/2016</t>
        </is>
      </c>
      <c r="E168" s="20" t="inlineStr">
        <is>
          <t>Previous Year</t>
        </is>
      </c>
      <c r="F168" s="21" t="inlineStr">
        <is>
          <t>2024–25</t>
        </is>
      </c>
    </row>
    <row r="169" ht="18" customHeight="1">
      <c r="B169" s="20" t="inlineStr">
        <is>
          <t>Address</t>
        </is>
      </c>
      <c r="C169" s="21" t="inlineStr">
        <is>
          <t>Plot 88, Panki Industrial Area, Site 3, Kanpur, Uttar Pradesh – 208022</t>
        </is>
      </c>
      <c r="E169" s="20" t="inlineStr">
        <is>
          <t>Return Form</t>
        </is>
      </c>
      <c r="F169" s="21" t="inlineStr">
        <is>
          <t>ITR-3</t>
        </is>
      </c>
    </row>
    <row r="170" ht="18" customHeight="1">
      <c r="B170" s="20" t="inlineStr">
        <is>
          <t>State</t>
        </is>
      </c>
      <c r="C170" s="21" t="inlineStr">
        <is>
          <t>Uttar Pradesh</t>
        </is>
      </c>
      <c r="E170" s="20" t="inlineStr">
        <is>
          <t>Nature of Entity</t>
        </is>
      </c>
      <c r="F170" s="21" t="inlineStr">
        <is>
          <t>Individual / HUF</t>
        </is>
      </c>
    </row>
    <row r="171" ht="18" customHeight="1">
      <c r="B171" s="20" t="inlineStr">
        <is>
          <t>Country</t>
        </is>
      </c>
      <c r="C171" s="21" t="inlineStr">
        <is>
          <t>India</t>
        </is>
      </c>
      <c r="E171" s="20" t="inlineStr">
        <is>
          <t>Nature of Business</t>
        </is>
      </c>
      <c r="F171" s="21" t="inlineStr">
        <is>
          <t>Agricultural &amp; Forestry Machinery Mfg</t>
        </is>
      </c>
    </row>
    <row r="172" ht="18" customHeight="1">
      <c r="B172" s="22" t="n"/>
      <c r="C172" s="22" t="n"/>
      <c r="E172" s="20" t="inlineStr">
        <is>
          <t>Business Code</t>
        </is>
      </c>
      <c r="F172" s="21" t="inlineStr">
        <is>
          <t>28211</t>
        </is>
      </c>
    </row>
    <row r="173" ht="18" customHeight="1">
      <c r="B173" s="22" t="n"/>
      <c r="C173" s="22" t="n"/>
      <c r="E173" s="20" t="inlineStr">
        <is>
          <t>Gross Total Income</t>
        </is>
      </c>
      <c r="F173" s="21" t="inlineStr">
        <is>
          <t>₹12,000,000</t>
        </is>
      </c>
    </row>
    <row r="174" ht="18" customHeight="1">
      <c r="B174" s="22" t="n"/>
      <c r="C174" s="22" t="n"/>
      <c r="E174" s="20" t="inlineStr">
        <is>
          <t>Total Income</t>
        </is>
      </c>
      <c r="F174" s="21" t="inlineStr">
        <is>
          <t>₹11,200,000</t>
        </is>
      </c>
    </row>
    <row r="175" ht="18" customHeight="1">
      <c r="B175" s="22" t="n"/>
      <c r="C175" s="22" t="n"/>
      <c r="E175" s="20" t="inlineStr">
        <is>
          <t>Taxable Income</t>
        </is>
      </c>
      <c r="F175" s="21" t="inlineStr">
        <is>
          <t>₹11,200,000</t>
        </is>
      </c>
    </row>
    <row r="176" ht="18" customHeight="1">
      <c r="B176" s="22" t="n"/>
      <c r="C176" s="22" t="n"/>
      <c r="E176" s="20" t="inlineStr">
        <is>
          <t>Income Tax</t>
        </is>
      </c>
      <c r="F176" s="21" t="inlineStr">
        <is>
          <t>₹3,360,000</t>
        </is>
      </c>
    </row>
    <row r="177" ht="18" customHeight="1">
      <c r="B177" s="22" t="n"/>
      <c r="C177" s="22" t="n"/>
      <c r="E177" s="20" t="inlineStr">
        <is>
          <t>Health &amp; Education Cess</t>
        </is>
      </c>
      <c r="F177" s="21" t="inlineStr">
        <is>
          <t>₹134,400</t>
        </is>
      </c>
    </row>
    <row r="178" ht="18" customHeight="1">
      <c r="B178" s="22" t="n"/>
      <c r="C178" s="22" t="n"/>
      <c r="E178" s="20" t="inlineStr">
        <is>
          <t>Total Tax Liability</t>
        </is>
      </c>
      <c r="F178" s="21" t="inlineStr">
        <is>
          <t>₹3,494,400</t>
        </is>
      </c>
    </row>
    <row r="179" ht="18" customHeight="1">
      <c r="B179" s="22" t="n"/>
      <c r="C179" s="22" t="n"/>
      <c r="E179" s="20" t="inlineStr">
        <is>
          <t>TDS/TCS Credit</t>
        </is>
      </c>
      <c r="F179" s="21" t="inlineStr">
        <is>
          <t>₹240,000</t>
        </is>
      </c>
    </row>
    <row r="180" ht="18" customHeight="1">
      <c r="B180" s="22" t="n"/>
      <c r="C180" s="22" t="n"/>
      <c r="E180" s="20" t="inlineStr">
        <is>
          <t>Advance Tax Paid</t>
        </is>
      </c>
      <c r="F180" s="21" t="inlineStr">
        <is>
          <t>₹3,100,000</t>
        </is>
      </c>
    </row>
    <row r="181" ht="18" customHeight="1">
      <c r="B181" s="22" t="n"/>
      <c r="C181" s="22" t="n"/>
      <c r="E181" s="20" t="inlineStr">
        <is>
          <t>Self-Assessment Tax</t>
        </is>
      </c>
      <c r="F181" s="21" t="inlineStr">
        <is>
          <t>₹154,400</t>
        </is>
      </c>
    </row>
    <row r="182" ht="18" customHeight="1">
      <c r="B182" s="22" t="n"/>
      <c r="C182" s="22" t="n"/>
      <c r="E182" s="20" t="inlineStr">
        <is>
          <t>Return Filing Date</t>
        </is>
      </c>
      <c r="F182" s="21" t="inlineStr">
        <is>
          <t>26/10/2025</t>
        </is>
      </c>
    </row>
    <row r="183" ht="18" customHeight="1">
      <c r="B183" s="22" t="n"/>
      <c r="C183" s="22" t="n"/>
      <c r="E183" s="20" t="inlineStr">
        <is>
          <t>Authorized Signatory</t>
        </is>
      </c>
      <c r="F183" s="21" t="inlineStr">
        <is>
          <t>Pradeep Tripathi</t>
        </is>
      </c>
    </row>
    <row r="184" ht="18" customHeight="1">
      <c r="B184" s="22" t="n"/>
      <c r="C184" s="22" t="n"/>
      <c r="E184" s="20" t="inlineStr">
        <is>
          <t>Designation</t>
        </is>
      </c>
      <c r="F184" s="21" t="inlineStr">
        <is>
          <t>Proprietor</t>
        </is>
      </c>
    </row>
    <row r="186" ht="24" customHeight="1">
      <c r="B186" s="17" t="inlineStr">
        <is>
          <t>MOCK DATA SET 9: APEX SUPPLY CHAIN LOGISTICS PVT LTD (AABCA4567D)</t>
        </is>
      </c>
    </row>
    <row r="187" ht="20" customHeight="1">
      <c r="B187" s="18" t="inlineStr">
        <is>
          <t>PAN Details</t>
        </is>
      </c>
      <c r="E187" s="19" t="inlineStr">
        <is>
          <t>Income Tax Details</t>
        </is>
      </c>
    </row>
    <row r="188" ht="18" customHeight="1">
      <c r="B188" s="20" t="inlineStr">
        <is>
          <t>PAN</t>
        </is>
      </c>
      <c r="C188" s="21" t="inlineStr">
        <is>
          <t>AABCA4567D</t>
        </is>
      </c>
      <c r="E188" s="20" t="inlineStr">
        <is>
          <t>PAN</t>
        </is>
      </c>
      <c r="F188" s="21" t="inlineStr">
        <is>
          <t>AABCA4567D</t>
        </is>
      </c>
    </row>
    <row r="189" ht="18" customHeight="1">
      <c r="B189" s="20" t="inlineStr">
        <is>
          <t>Name as per PAN</t>
        </is>
      </c>
      <c r="C189" s="21" t="inlineStr">
        <is>
          <t>Apex Supply Chain Logistics Pvt Ltd</t>
        </is>
      </c>
      <c r="E189" s="20" t="inlineStr">
        <is>
          <t>Assessee Name</t>
        </is>
      </c>
      <c r="F189" s="21" t="inlineStr">
        <is>
          <t>Apex Supply Chain Logistics Pvt Ltd</t>
        </is>
      </c>
    </row>
    <row r="190" ht="18" customHeight="1">
      <c r="B190" s="20" t="inlineStr">
        <is>
          <t>PAN Holder Type</t>
        </is>
      </c>
      <c r="C190" s="21" t="inlineStr">
        <is>
          <t>Company</t>
        </is>
      </c>
      <c r="E190" s="20" t="inlineStr">
        <is>
          <t>Assessment Year</t>
        </is>
      </c>
      <c r="F190" s="21" t="inlineStr">
        <is>
          <t>2025–26</t>
        </is>
      </c>
    </row>
    <row r="191" ht="18" customHeight="1">
      <c r="B191" s="20" t="inlineStr">
        <is>
          <t>Date of Incorporation</t>
        </is>
      </c>
      <c r="C191" s="21" t="inlineStr">
        <is>
          <t>30/08/2019</t>
        </is>
      </c>
      <c r="E191" s="20" t="inlineStr">
        <is>
          <t>Previous Year</t>
        </is>
      </c>
      <c r="F191" s="21" t="inlineStr">
        <is>
          <t>2024–25</t>
        </is>
      </c>
    </row>
    <row r="192" ht="18" customHeight="1">
      <c r="B192" s="20" t="inlineStr">
        <is>
          <t>Address</t>
        </is>
      </c>
      <c r="C192" s="21" t="inlineStr">
        <is>
          <t>Sector 37, Pace City II, Gurugram, Haryana – 122001</t>
        </is>
      </c>
      <c r="E192" s="20" t="inlineStr">
        <is>
          <t>Return Form</t>
        </is>
      </c>
      <c r="F192" s="21" t="inlineStr">
        <is>
          <t>ITR-6</t>
        </is>
      </c>
    </row>
    <row r="193" ht="18" customHeight="1">
      <c r="B193" s="20" t="inlineStr">
        <is>
          <t>State</t>
        </is>
      </c>
      <c r="C193" s="21" t="inlineStr">
        <is>
          <t>Haryana</t>
        </is>
      </c>
      <c r="E193" s="20" t="inlineStr">
        <is>
          <t>Nature of Entity</t>
        </is>
      </c>
      <c r="F193" s="21" t="inlineStr">
        <is>
          <t>Domestic Company</t>
        </is>
      </c>
    </row>
    <row r="194" ht="18" customHeight="1">
      <c r="B194" s="20" t="inlineStr">
        <is>
          <t>Country</t>
        </is>
      </c>
      <c r="C194" s="21" t="inlineStr">
        <is>
          <t>India</t>
        </is>
      </c>
      <c r="E194" s="20" t="inlineStr">
        <is>
          <t>Nature of Business</t>
        </is>
      </c>
      <c r="F194" s="21" t="inlineStr">
        <is>
          <t>Freight Forwarding &amp; 3PL Logistics Services</t>
        </is>
      </c>
    </row>
    <row r="195" ht="18" customHeight="1">
      <c r="B195" s="22" t="n"/>
      <c r="C195" s="22" t="n"/>
      <c r="E195" s="20" t="inlineStr">
        <is>
          <t>Business Code</t>
        </is>
      </c>
      <c r="F195" s="21" t="inlineStr">
        <is>
          <t>52292</t>
        </is>
      </c>
    </row>
    <row r="196" ht="18" customHeight="1">
      <c r="B196" s="22" t="n"/>
      <c r="C196" s="22" t="n"/>
      <c r="E196" s="20" t="inlineStr">
        <is>
          <t>Gross Total Income</t>
        </is>
      </c>
      <c r="F196" s="21" t="inlineStr">
        <is>
          <t>₹178,000,000</t>
        </is>
      </c>
    </row>
    <row r="197" ht="18" customHeight="1">
      <c r="B197" s="22" t="n"/>
      <c r="C197" s="22" t="n"/>
      <c r="E197" s="20" t="inlineStr">
        <is>
          <t>Total Income</t>
        </is>
      </c>
      <c r="F197" s="21" t="inlineStr">
        <is>
          <t>₹168,000,000</t>
        </is>
      </c>
    </row>
    <row r="198" ht="18" customHeight="1">
      <c r="B198" s="22" t="n"/>
      <c r="C198" s="22" t="n"/>
      <c r="E198" s="20" t="inlineStr">
        <is>
          <t>Taxable Income</t>
        </is>
      </c>
      <c r="F198" s="21" t="inlineStr">
        <is>
          <t>₹168,000,000</t>
        </is>
      </c>
    </row>
    <row r="199" ht="18" customHeight="1">
      <c r="B199" s="22" t="n"/>
      <c r="C199" s="22" t="n"/>
      <c r="E199" s="20" t="inlineStr">
        <is>
          <t>Income Tax</t>
        </is>
      </c>
      <c r="F199" s="21" t="inlineStr">
        <is>
          <t>₹42,000,000</t>
        </is>
      </c>
    </row>
    <row r="200" ht="18" customHeight="1">
      <c r="B200" s="22" t="n"/>
      <c r="C200" s="22" t="n"/>
      <c r="E200" s="20" t="inlineStr">
        <is>
          <t>Health &amp; Education Cess</t>
        </is>
      </c>
      <c r="F200" s="21" t="inlineStr">
        <is>
          <t>₹1,680,000</t>
        </is>
      </c>
    </row>
    <row r="201" ht="18" customHeight="1">
      <c r="B201" s="22" t="n"/>
      <c r="C201" s="22" t="n"/>
      <c r="E201" s="20" t="inlineStr">
        <is>
          <t>Total Tax Liability</t>
        </is>
      </c>
      <c r="F201" s="21" t="inlineStr">
        <is>
          <t>₹43,680,000</t>
        </is>
      </c>
    </row>
    <row r="202" ht="18" customHeight="1">
      <c r="B202" s="22" t="n"/>
      <c r="C202" s="22" t="n"/>
      <c r="E202" s="20" t="inlineStr">
        <is>
          <t>TDS/TCS Credit</t>
        </is>
      </c>
      <c r="F202" s="21" t="inlineStr">
        <is>
          <t>₹4,800,000</t>
        </is>
      </c>
    </row>
    <row r="203" ht="18" customHeight="1">
      <c r="B203" s="22" t="n"/>
      <c r="C203" s="22" t="n"/>
      <c r="E203" s="20" t="inlineStr">
        <is>
          <t>Advance Tax Paid</t>
        </is>
      </c>
      <c r="F203" s="21" t="inlineStr">
        <is>
          <t>₹37,000,000</t>
        </is>
      </c>
    </row>
    <row r="204" ht="18" customHeight="1">
      <c r="B204" s="22" t="n"/>
      <c r="C204" s="22" t="n"/>
      <c r="E204" s="20" t="inlineStr">
        <is>
          <t>Self-Assessment Tax</t>
        </is>
      </c>
      <c r="F204" s="21" t="inlineStr">
        <is>
          <t>₹1,880,000</t>
        </is>
      </c>
    </row>
    <row r="205" ht="18" customHeight="1">
      <c r="B205" s="22" t="n"/>
      <c r="C205" s="22" t="n"/>
      <c r="E205" s="20" t="inlineStr">
        <is>
          <t>Return Filing Date</t>
        </is>
      </c>
      <c r="F205" s="21" t="inlineStr">
        <is>
          <t>27/09/2025</t>
        </is>
      </c>
    </row>
    <row r="206" ht="18" customHeight="1">
      <c r="B206" s="22" t="n"/>
      <c r="C206" s="22" t="n"/>
      <c r="E206" s="20" t="inlineStr">
        <is>
          <t>Authorized Signatory</t>
        </is>
      </c>
      <c r="F206" s="21" t="inlineStr">
        <is>
          <t>Manish Gupta</t>
        </is>
      </c>
    </row>
    <row r="207" ht="18" customHeight="1">
      <c r="B207" s="22" t="n"/>
      <c r="C207" s="22" t="n"/>
      <c r="E207" s="20" t="inlineStr">
        <is>
          <t>Designation</t>
        </is>
      </c>
      <c r="F207" s="21" t="inlineStr">
        <is>
          <t>Managing Director</t>
        </is>
      </c>
    </row>
    <row r="209" ht="24" customHeight="1">
      <c r="B209" s="17" t="inlineStr">
        <is>
          <t>MOCK DATA SET 10: MARWAR MARBLE &amp; GRANITES (AAAFM3456J)</t>
        </is>
      </c>
    </row>
    <row r="210" ht="20" customHeight="1">
      <c r="B210" s="18" t="inlineStr">
        <is>
          <t>PAN Details</t>
        </is>
      </c>
      <c r="E210" s="19" t="inlineStr">
        <is>
          <t>Income Tax Details</t>
        </is>
      </c>
    </row>
    <row r="211" ht="18" customHeight="1">
      <c r="B211" s="20" t="inlineStr">
        <is>
          <t>PAN</t>
        </is>
      </c>
      <c r="C211" s="21" t="inlineStr">
        <is>
          <t>AAAFM3456J</t>
        </is>
      </c>
      <c r="E211" s="20" t="inlineStr">
        <is>
          <t>PAN</t>
        </is>
      </c>
      <c r="F211" s="21" t="inlineStr">
        <is>
          <t>AAAFM3456J</t>
        </is>
      </c>
    </row>
    <row r="212" ht="18" customHeight="1">
      <c r="B212" s="20" t="inlineStr">
        <is>
          <t>Name as per PAN</t>
        </is>
      </c>
      <c r="C212" s="21" t="inlineStr">
        <is>
          <t>Marwar Marble &amp; Granites</t>
        </is>
      </c>
      <c r="E212" s="20" t="inlineStr">
        <is>
          <t>Assessee Name</t>
        </is>
      </c>
      <c r="F212" s="21" t="inlineStr">
        <is>
          <t>Marwar Marble &amp; Granites</t>
        </is>
      </c>
    </row>
    <row r="213" ht="18" customHeight="1">
      <c r="B213" s="20" t="inlineStr">
        <is>
          <t>PAN Holder Type</t>
        </is>
      </c>
      <c r="C213" s="21" t="inlineStr">
        <is>
          <t>Partnership Firm</t>
        </is>
      </c>
      <c r="E213" s="20" t="inlineStr">
        <is>
          <t>Assessment Year</t>
        </is>
      </c>
      <c r="F213" s="21" t="inlineStr">
        <is>
          <t>2025–26</t>
        </is>
      </c>
    </row>
    <row r="214" ht="18" customHeight="1">
      <c r="B214" s="20" t="inlineStr">
        <is>
          <t>Date of Incorporation</t>
        </is>
      </c>
      <c r="C214" s="21" t="inlineStr">
        <is>
          <t>15/10/2014</t>
        </is>
      </c>
      <c r="E214" s="20" t="inlineStr">
        <is>
          <t>Previous Year</t>
        </is>
      </c>
      <c r="F214" s="21" t="inlineStr">
        <is>
          <t>2024–25</t>
        </is>
      </c>
    </row>
    <row r="215" ht="18" customHeight="1">
      <c r="B215" s="20" t="inlineStr">
        <is>
          <t>Address</t>
        </is>
      </c>
      <c r="C215" s="21" t="inlineStr">
        <is>
          <t>RIICO Industrial Area, Sukher, Udaipur, Rajasthan – 313001</t>
        </is>
      </c>
      <c r="E215" s="20" t="inlineStr">
        <is>
          <t>Return Form</t>
        </is>
      </c>
      <c r="F215" s="21" t="inlineStr">
        <is>
          <t>ITR-5</t>
        </is>
      </c>
    </row>
    <row r="216" ht="18" customHeight="1">
      <c r="B216" s="20" t="inlineStr">
        <is>
          <t>State</t>
        </is>
      </c>
      <c r="C216" s="21" t="inlineStr">
        <is>
          <t>Rajasthan</t>
        </is>
      </c>
      <c r="E216" s="20" t="inlineStr">
        <is>
          <t>Nature of Entity</t>
        </is>
      </c>
      <c r="F216" s="21" t="inlineStr">
        <is>
          <t>Partnership Firm</t>
        </is>
      </c>
    </row>
    <row r="217" ht="18" customHeight="1">
      <c r="B217" s="20" t="inlineStr">
        <is>
          <t>Country</t>
        </is>
      </c>
      <c r="C217" s="21" t="inlineStr">
        <is>
          <t>India</t>
        </is>
      </c>
      <c r="E217" s="20" t="inlineStr">
        <is>
          <t>Nature of Business</t>
        </is>
      </c>
      <c r="F217" s="21" t="inlineStr">
        <is>
          <t>Cutting, Shaping &amp; Finishing of Stone</t>
        </is>
      </c>
    </row>
    <row r="218" ht="18" customHeight="1">
      <c r="B218" s="22" t="n"/>
      <c r="C218" s="22" t="n"/>
      <c r="E218" s="20" t="inlineStr">
        <is>
          <t>Business Code</t>
        </is>
      </c>
      <c r="F218" s="21" t="inlineStr">
        <is>
          <t>23960</t>
        </is>
      </c>
    </row>
    <row r="219" ht="18" customHeight="1">
      <c r="B219" s="22" t="n"/>
      <c r="C219" s="22" t="n"/>
      <c r="E219" s="20" t="inlineStr">
        <is>
          <t>Gross Total Income</t>
        </is>
      </c>
      <c r="F219" s="21" t="inlineStr">
        <is>
          <t>₹615,000,000</t>
        </is>
      </c>
    </row>
    <row r="220" ht="18" customHeight="1">
      <c r="B220" s="22" t="n"/>
      <c r="C220" s="22" t="n"/>
      <c r="E220" s="20" t="inlineStr">
        <is>
          <t>Total Income</t>
        </is>
      </c>
      <c r="F220" s="21" t="inlineStr">
        <is>
          <t>₹580,000,000</t>
        </is>
      </c>
    </row>
    <row r="221" ht="18" customHeight="1">
      <c r="B221" s="22" t="n"/>
      <c r="C221" s="22" t="n"/>
      <c r="E221" s="20" t="inlineStr">
        <is>
          <t>Taxable Income</t>
        </is>
      </c>
      <c r="F221" s="21" t="inlineStr">
        <is>
          <t>₹580,000,000</t>
        </is>
      </c>
    </row>
    <row r="222" ht="18" customHeight="1">
      <c r="B222" s="22" t="n"/>
      <c r="C222" s="22" t="n"/>
      <c r="E222" s="20" t="inlineStr">
        <is>
          <t>Income Tax</t>
        </is>
      </c>
      <c r="F222" s="21" t="inlineStr">
        <is>
          <t>₹174,000,000</t>
        </is>
      </c>
    </row>
    <row r="223" ht="18" customHeight="1">
      <c r="B223" s="22" t="n"/>
      <c r="C223" s="22" t="n"/>
      <c r="E223" s="20" t="inlineStr">
        <is>
          <t>Health &amp; Education Cess</t>
        </is>
      </c>
      <c r="F223" s="21" t="inlineStr">
        <is>
          <t>₹6,960,000</t>
        </is>
      </c>
    </row>
    <row r="224" ht="18" customHeight="1">
      <c r="B224" s="22" t="n"/>
      <c r="C224" s="22" t="n"/>
      <c r="E224" s="20" t="inlineStr">
        <is>
          <t>Total Tax Liability</t>
        </is>
      </c>
      <c r="F224" s="21" t="inlineStr">
        <is>
          <t>₹180,960,000</t>
        </is>
      </c>
    </row>
    <row r="225" ht="18" customHeight="1">
      <c r="B225" s="22" t="n"/>
      <c r="C225" s="22" t="n"/>
      <c r="E225" s="20" t="inlineStr">
        <is>
          <t>TDS/TCS Credit</t>
        </is>
      </c>
      <c r="F225" s="21" t="inlineStr">
        <is>
          <t>₹8,500,000</t>
        </is>
      </c>
    </row>
    <row r="226" ht="18" customHeight="1">
      <c r="B226" s="22" t="n"/>
      <c r="C226" s="22" t="n"/>
      <c r="E226" s="20" t="inlineStr">
        <is>
          <t>Advance Tax Paid</t>
        </is>
      </c>
      <c r="F226" s="21" t="inlineStr">
        <is>
          <t>₹165,000,000</t>
        </is>
      </c>
    </row>
    <row r="227" ht="18" customHeight="1">
      <c r="B227" s="22" t="n"/>
      <c r="C227" s="22" t="n"/>
      <c r="E227" s="20" t="inlineStr">
        <is>
          <t>Self-Assessment Tax</t>
        </is>
      </c>
      <c r="F227" s="21" t="inlineStr">
        <is>
          <t>₹7,460,000</t>
        </is>
      </c>
    </row>
    <row r="228" ht="18" customHeight="1">
      <c r="B228" s="22" t="n"/>
      <c r="C228" s="22" t="n"/>
      <c r="E228" s="20" t="inlineStr">
        <is>
          <t>Return Filing Date</t>
        </is>
      </c>
      <c r="F228" s="21" t="inlineStr">
        <is>
          <t>22/10/2025</t>
        </is>
      </c>
    </row>
    <row r="229" ht="18" customHeight="1">
      <c r="B229" s="22" t="n"/>
      <c r="C229" s="22" t="n"/>
      <c r="E229" s="20" t="inlineStr">
        <is>
          <t>Authorized Signatory</t>
        </is>
      </c>
      <c r="F229" s="21" t="inlineStr">
        <is>
          <t>Bhawani Singh</t>
        </is>
      </c>
    </row>
    <row r="230" ht="18" customHeight="1">
      <c r="B230" s="22" t="n"/>
      <c r="C230" s="22" t="n"/>
      <c r="E230" s="20" t="inlineStr">
        <is>
          <t>Designation</t>
        </is>
      </c>
      <c r="F230" s="21" t="inlineStr">
        <is>
          <t>Partner</t>
        </is>
      </c>
    </row>
    <row r="232" ht="24" customHeight="1">
      <c r="B232" s="17" t="inlineStr">
        <is>
          <t>MOCK DATA SET 11: COASTAL SPICE EXTRACTS LLP (AABFC7891E)</t>
        </is>
      </c>
    </row>
    <row r="233" ht="20" customHeight="1">
      <c r="B233" s="18" t="inlineStr">
        <is>
          <t>PAN Details</t>
        </is>
      </c>
      <c r="E233" s="19" t="inlineStr">
        <is>
          <t>Income Tax Details</t>
        </is>
      </c>
    </row>
    <row r="234" ht="18" customHeight="1">
      <c r="B234" s="20" t="inlineStr">
        <is>
          <t>PAN</t>
        </is>
      </c>
      <c r="C234" s="21" t="inlineStr">
        <is>
          <t>AABFC7891E</t>
        </is>
      </c>
      <c r="E234" s="20" t="inlineStr">
        <is>
          <t>PAN</t>
        </is>
      </c>
      <c r="F234" s="21" t="inlineStr">
        <is>
          <t>AABFC7891E</t>
        </is>
      </c>
    </row>
    <row r="235" ht="18" customHeight="1">
      <c r="B235" s="20" t="inlineStr">
        <is>
          <t>Name as per PAN</t>
        </is>
      </c>
      <c r="C235" s="21" t="inlineStr">
        <is>
          <t>Coastal Spice Extracts LLP</t>
        </is>
      </c>
      <c r="E235" s="20" t="inlineStr">
        <is>
          <t>Assessee Name</t>
        </is>
      </c>
      <c r="F235" s="21" t="inlineStr">
        <is>
          <t>Coastal Spice Extracts LLP</t>
        </is>
      </c>
    </row>
    <row r="236" ht="18" customHeight="1">
      <c r="B236" s="20" t="inlineStr">
        <is>
          <t>PAN Holder Type</t>
        </is>
      </c>
      <c r="C236" s="21" t="inlineStr">
        <is>
          <t>Limited Liability Partnership</t>
        </is>
      </c>
      <c r="E236" s="20" t="inlineStr">
        <is>
          <t>Assessment Year</t>
        </is>
      </c>
      <c r="F236" s="21" t="inlineStr">
        <is>
          <t>2025–26</t>
        </is>
      </c>
    </row>
    <row r="237" ht="18" customHeight="1">
      <c r="B237" s="20" t="inlineStr">
        <is>
          <t>Date of Incorporation</t>
        </is>
      </c>
      <c r="C237" s="21" t="inlineStr">
        <is>
          <t>12/12/2018</t>
        </is>
      </c>
      <c r="E237" s="20" t="inlineStr">
        <is>
          <t>Previous Year</t>
        </is>
      </c>
      <c r="F237" s="21" t="inlineStr">
        <is>
          <t>2024–25</t>
        </is>
      </c>
    </row>
    <row r="238" ht="18" customHeight="1">
      <c r="B238" s="20" t="inlineStr">
        <is>
          <t>Address</t>
        </is>
      </c>
      <c r="C238" s="21" t="inlineStr">
        <is>
          <t>Building 4/320, Edayar Industrial Area, Kochi, Kerala – 683502</t>
        </is>
      </c>
      <c r="E238" s="20" t="inlineStr">
        <is>
          <t>Return Form</t>
        </is>
      </c>
      <c r="F238" s="21" t="inlineStr">
        <is>
          <t>ITR-5</t>
        </is>
      </c>
    </row>
    <row r="239" ht="18" customHeight="1">
      <c r="B239" s="20" t="inlineStr">
        <is>
          <t>State</t>
        </is>
      </c>
      <c r="C239" s="21" t="inlineStr">
        <is>
          <t>Kerala</t>
        </is>
      </c>
      <c r="E239" s="20" t="inlineStr">
        <is>
          <t>Nature of Entity</t>
        </is>
      </c>
      <c r="F239" s="21" t="inlineStr">
        <is>
          <t>LLP / Firm</t>
        </is>
      </c>
    </row>
    <row r="240" ht="18" customHeight="1">
      <c r="B240" s="20" t="inlineStr">
        <is>
          <t>Country</t>
        </is>
      </c>
      <c r="C240" s="21" t="inlineStr">
        <is>
          <t>India</t>
        </is>
      </c>
      <c r="E240" s="20" t="inlineStr">
        <is>
          <t>Nature of Business</t>
        </is>
      </c>
      <c r="F240" s="21" t="inlineStr">
        <is>
          <t>Manufacture of Spices &amp; Oleoresins</t>
        </is>
      </c>
    </row>
    <row r="241" ht="18" customHeight="1">
      <c r="B241" s="22" t="n"/>
      <c r="C241" s="22" t="n"/>
      <c r="E241" s="20" t="inlineStr">
        <is>
          <t>Business Code</t>
        </is>
      </c>
      <c r="F241" s="21" t="inlineStr">
        <is>
          <t>10795</t>
        </is>
      </c>
    </row>
    <row r="242" ht="18" customHeight="1">
      <c r="B242" s="22" t="n"/>
      <c r="C242" s="22" t="n"/>
      <c r="E242" s="20" t="inlineStr">
        <is>
          <t>Gross Total Income</t>
        </is>
      </c>
      <c r="F242" s="21" t="inlineStr">
        <is>
          <t>₹192,000,000</t>
        </is>
      </c>
    </row>
    <row r="243" ht="18" customHeight="1">
      <c r="B243" s="22" t="n"/>
      <c r="C243" s="22" t="n"/>
      <c r="E243" s="20" t="inlineStr">
        <is>
          <t>Total Income</t>
        </is>
      </c>
      <c r="F243" s="21" t="inlineStr">
        <is>
          <t>₹182,000,000</t>
        </is>
      </c>
    </row>
    <row r="244" ht="18" customHeight="1">
      <c r="B244" s="22" t="n"/>
      <c r="C244" s="22" t="n"/>
      <c r="E244" s="20" t="inlineStr">
        <is>
          <t>Taxable Income</t>
        </is>
      </c>
      <c r="F244" s="21" t="inlineStr">
        <is>
          <t>₹182,000,000</t>
        </is>
      </c>
    </row>
    <row r="245" ht="18" customHeight="1">
      <c r="B245" s="22" t="n"/>
      <c r="C245" s="22" t="n"/>
      <c r="E245" s="20" t="inlineStr">
        <is>
          <t>Income Tax</t>
        </is>
      </c>
      <c r="F245" s="21" t="inlineStr">
        <is>
          <t>₹54,600,000</t>
        </is>
      </c>
    </row>
    <row r="246" ht="18" customHeight="1">
      <c r="B246" s="22" t="n"/>
      <c r="C246" s="22" t="n"/>
      <c r="E246" s="20" t="inlineStr">
        <is>
          <t>Health &amp; Education Cess</t>
        </is>
      </c>
      <c r="F246" s="21" t="inlineStr">
        <is>
          <t>₹2,184,000</t>
        </is>
      </c>
    </row>
    <row r="247" ht="18" customHeight="1">
      <c r="B247" s="22" t="n"/>
      <c r="C247" s="22" t="n"/>
      <c r="E247" s="20" t="inlineStr">
        <is>
          <t>Total Tax Liability</t>
        </is>
      </c>
      <c r="F247" s="21" t="inlineStr">
        <is>
          <t>₹56,784,000</t>
        </is>
      </c>
    </row>
    <row r="248" ht="18" customHeight="1">
      <c r="B248" s="22" t="n"/>
      <c r="C248" s="22" t="n"/>
      <c r="E248" s="20" t="inlineStr">
        <is>
          <t>TDS/TCS Credit</t>
        </is>
      </c>
      <c r="F248" s="21" t="inlineStr">
        <is>
          <t>₹3,600,000</t>
        </is>
      </c>
    </row>
    <row r="249" ht="18" customHeight="1">
      <c r="B249" s="22" t="n"/>
      <c r="C249" s="22" t="n"/>
      <c r="E249" s="20" t="inlineStr">
        <is>
          <t>Advance Tax Paid</t>
        </is>
      </c>
      <c r="F249" s="21" t="inlineStr">
        <is>
          <t>₹50,000,000</t>
        </is>
      </c>
    </row>
    <row r="250" ht="18" customHeight="1">
      <c r="B250" s="22" t="n"/>
      <c r="C250" s="22" t="n"/>
      <c r="E250" s="20" t="inlineStr">
        <is>
          <t>Self-Assessment Tax</t>
        </is>
      </c>
      <c r="F250" s="21" t="inlineStr">
        <is>
          <t>₹3,184,000</t>
        </is>
      </c>
    </row>
    <row r="251" ht="18" customHeight="1">
      <c r="B251" s="22" t="n"/>
      <c r="C251" s="22" t="n"/>
      <c r="E251" s="20" t="inlineStr">
        <is>
          <t>Return Filing Date</t>
        </is>
      </c>
      <c r="F251" s="21" t="inlineStr">
        <is>
          <t>24/10/2025</t>
        </is>
      </c>
    </row>
    <row r="252" ht="18" customHeight="1">
      <c r="B252" s="22" t="n"/>
      <c r="C252" s="22" t="n"/>
      <c r="E252" s="20" t="inlineStr">
        <is>
          <t>Authorized Signatory</t>
        </is>
      </c>
      <c r="F252" s="21" t="inlineStr">
        <is>
          <t>Mathew Varghese</t>
        </is>
      </c>
    </row>
    <row r="253" ht="18" customHeight="1">
      <c r="B253" s="22" t="n"/>
      <c r="C253" s="22" t="n"/>
      <c r="E253" s="20" t="inlineStr">
        <is>
          <t>Designation</t>
        </is>
      </c>
      <c r="F253" s="21" t="inlineStr">
        <is>
          <t>Designated Partner</t>
        </is>
      </c>
    </row>
    <row r="255" ht="24" customHeight="1">
      <c r="B255" s="17" t="inlineStr">
        <is>
          <t>MOCK DATA SET 12: KOVAI AUTOMATION SYSTEMS (BCSPK1234N)</t>
        </is>
      </c>
    </row>
    <row r="256" ht="20" customHeight="1">
      <c r="B256" s="18" t="inlineStr">
        <is>
          <t>PAN Details</t>
        </is>
      </c>
      <c r="E256" s="19" t="inlineStr">
        <is>
          <t>Income Tax Details</t>
        </is>
      </c>
    </row>
    <row r="257" ht="18" customHeight="1">
      <c r="B257" s="20" t="inlineStr">
        <is>
          <t>PAN</t>
        </is>
      </c>
      <c r="C257" s="21" t="inlineStr">
        <is>
          <t>BCSPK1234N</t>
        </is>
      </c>
      <c r="E257" s="20" t="inlineStr">
        <is>
          <t>PAN</t>
        </is>
      </c>
      <c r="F257" s="21" t="inlineStr">
        <is>
          <t>BCSPK1234N</t>
        </is>
      </c>
    </row>
    <row r="258" ht="18" customHeight="1">
      <c r="B258" s="20" t="inlineStr">
        <is>
          <t>Name as per PAN</t>
        </is>
      </c>
      <c r="C258" s="21" t="inlineStr">
        <is>
          <t>Kovai Automation Systems</t>
        </is>
      </c>
      <c r="E258" s="20" t="inlineStr">
        <is>
          <t>Assessee Name</t>
        </is>
      </c>
      <c r="F258" s="21" t="inlineStr">
        <is>
          <t>Kovai Automation Systems</t>
        </is>
      </c>
    </row>
    <row r="259" ht="18" customHeight="1">
      <c r="B259" s="20" t="inlineStr">
        <is>
          <t>PAN Holder Type</t>
        </is>
      </c>
      <c r="C259" s="21" t="inlineStr">
        <is>
          <t>Individual / Proprietorship</t>
        </is>
      </c>
      <c r="E259" s="20" t="inlineStr">
        <is>
          <t>Assessment Year</t>
        </is>
      </c>
      <c r="F259" s="21" t="inlineStr">
        <is>
          <t>2025–26</t>
        </is>
      </c>
    </row>
    <row r="260" ht="18" customHeight="1">
      <c r="B260" s="20" t="inlineStr">
        <is>
          <t>Date of Incorporation</t>
        </is>
      </c>
      <c r="C260" s="21" t="inlineStr">
        <is>
          <t>03/05/2021</t>
        </is>
      </c>
      <c r="E260" s="20" t="inlineStr">
        <is>
          <t>Previous Year</t>
        </is>
      </c>
      <c r="F260" s="21" t="inlineStr">
        <is>
          <t>2024–25</t>
        </is>
      </c>
    </row>
    <row r="261" ht="18" customHeight="1">
      <c r="B261" s="20" t="inlineStr">
        <is>
          <t>Address</t>
        </is>
      </c>
      <c r="C261" s="21" t="inlineStr">
        <is>
          <t>14, SIDCO Industrial Estate, Kurichi, Coimbatore, Tamil Nadu – 641021</t>
        </is>
      </c>
      <c r="E261" s="20" t="inlineStr">
        <is>
          <t>Return Form</t>
        </is>
      </c>
      <c r="F261" s="21" t="inlineStr">
        <is>
          <t>ITR-3</t>
        </is>
      </c>
    </row>
    <row r="262" ht="18" customHeight="1">
      <c r="B262" s="20" t="inlineStr">
        <is>
          <t>State</t>
        </is>
      </c>
      <c r="C262" s="21" t="inlineStr">
        <is>
          <t>Tamil Nadu</t>
        </is>
      </c>
      <c r="E262" s="20" t="inlineStr">
        <is>
          <t>Nature of Entity</t>
        </is>
      </c>
      <c r="F262" s="21" t="inlineStr">
        <is>
          <t>Individual / HUF</t>
        </is>
      </c>
    </row>
    <row r="263" ht="18" customHeight="1">
      <c r="B263" s="20" t="inlineStr">
        <is>
          <t>Country</t>
        </is>
      </c>
      <c r="C263" s="21" t="inlineStr">
        <is>
          <t>India</t>
        </is>
      </c>
      <c r="E263" s="20" t="inlineStr">
        <is>
          <t>Nature of Business</t>
        </is>
      </c>
      <c r="F263" s="21" t="inlineStr">
        <is>
          <t>Engineering Design &amp; System Integration</t>
        </is>
      </c>
    </row>
    <row r="264" ht="18" customHeight="1">
      <c r="B264" s="22" t="n"/>
      <c r="C264" s="22" t="n"/>
      <c r="E264" s="20" t="inlineStr">
        <is>
          <t>Business Code</t>
        </is>
      </c>
      <c r="F264" s="21" t="inlineStr">
        <is>
          <t>71122</t>
        </is>
      </c>
    </row>
    <row r="265" ht="18" customHeight="1">
      <c r="B265" s="22" t="n"/>
      <c r="C265" s="22" t="n"/>
      <c r="E265" s="20" t="inlineStr">
        <is>
          <t>Gross Total Income</t>
        </is>
      </c>
      <c r="F265" s="21" t="inlineStr">
        <is>
          <t>₹3,700,000</t>
        </is>
      </c>
    </row>
    <row r="266" ht="18" customHeight="1">
      <c r="B266" s="22" t="n"/>
      <c r="C266" s="22" t="n"/>
      <c r="E266" s="20" t="inlineStr">
        <is>
          <t>Total Income</t>
        </is>
      </c>
      <c r="F266" s="21" t="inlineStr">
        <is>
          <t>₹3,400,000</t>
        </is>
      </c>
    </row>
    <row r="267" ht="18" customHeight="1">
      <c r="B267" s="22" t="n"/>
      <c r="C267" s="22" t="n"/>
      <c r="E267" s="20" t="inlineStr">
        <is>
          <t>Taxable Income</t>
        </is>
      </c>
      <c r="F267" s="21" t="inlineStr">
        <is>
          <t>₹3,400,000</t>
        </is>
      </c>
    </row>
    <row r="268" ht="18" customHeight="1">
      <c r="B268" s="22" t="n"/>
      <c r="C268" s="22" t="n"/>
      <c r="E268" s="20" t="inlineStr">
        <is>
          <t>Income Tax</t>
        </is>
      </c>
      <c r="F268" s="21" t="inlineStr">
        <is>
          <t>₹1,020,000</t>
        </is>
      </c>
    </row>
    <row r="269" ht="18" customHeight="1">
      <c r="B269" s="22" t="n"/>
      <c r="C269" s="22" t="n"/>
      <c r="E269" s="20" t="inlineStr">
        <is>
          <t>Health &amp; Education Cess</t>
        </is>
      </c>
      <c r="F269" s="21" t="inlineStr">
        <is>
          <t>₹40,800</t>
        </is>
      </c>
    </row>
    <row r="270" ht="18" customHeight="1">
      <c r="B270" s="22" t="n"/>
      <c r="C270" s="22" t="n"/>
      <c r="E270" s="20" t="inlineStr">
        <is>
          <t>Total Tax Liability</t>
        </is>
      </c>
      <c r="F270" s="21" t="inlineStr">
        <is>
          <t>₹1,060,800</t>
        </is>
      </c>
    </row>
    <row r="271" ht="18" customHeight="1">
      <c r="B271" s="22" t="n"/>
      <c r="C271" s="22" t="n"/>
      <c r="E271" s="20" t="inlineStr">
        <is>
          <t>TDS/TCS Credit</t>
        </is>
      </c>
      <c r="F271" s="21" t="inlineStr">
        <is>
          <t>₹95,000</t>
        </is>
      </c>
    </row>
    <row r="272" ht="18" customHeight="1">
      <c r="B272" s="22" t="n"/>
      <c r="C272" s="22" t="n"/>
      <c r="E272" s="20" t="inlineStr">
        <is>
          <t>Advance Tax Paid</t>
        </is>
      </c>
      <c r="F272" s="21" t="inlineStr">
        <is>
          <t>₹880,000</t>
        </is>
      </c>
    </row>
    <row r="273" ht="18" customHeight="1">
      <c r="B273" s="22" t="n"/>
      <c r="C273" s="22" t="n"/>
      <c r="E273" s="20" t="inlineStr">
        <is>
          <t>Self-Assessment Tax</t>
        </is>
      </c>
      <c r="F273" s="21" t="inlineStr">
        <is>
          <t>₹85,800</t>
        </is>
      </c>
    </row>
    <row r="274" ht="18" customHeight="1">
      <c r="B274" s="22" t="n"/>
      <c r="C274" s="22" t="n"/>
      <c r="E274" s="20" t="inlineStr">
        <is>
          <t>Return Filing Date</t>
        </is>
      </c>
      <c r="F274" s="21" t="inlineStr">
        <is>
          <t>10/10/2025</t>
        </is>
      </c>
    </row>
    <row r="275" ht="18" customHeight="1">
      <c r="B275" s="22" t="n"/>
      <c r="C275" s="22" t="n"/>
      <c r="E275" s="20" t="inlineStr">
        <is>
          <t>Authorized Signatory</t>
        </is>
      </c>
      <c r="F275" s="21" t="inlineStr">
        <is>
          <t>K. Selvam</t>
        </is>
      </c>
    </row>
    <row r="276" ht="18" customHeight="1">
      <c r="B276" s="22" t="n"/>
      <c r="C276" s="22" t="n"/>
      <c r="E276" s="20" t="inlineStr">
        <is>
          <t>Designation</t>
        </is>
      </c>
      <c r="F276" s="21" t="inlineStr">
        <is>
          <t>Proprietor</t>
        </is>
      </c>
    </row>
    <row r="278" ht="24" customHeight="1">
      <c r="B278" s="17" t="inlineStr">
        <is>
          <t>MOCK DATA SET 13: NARMADA FLOUR &amp; AGRO MILLS PVT LTD (AABCN5678R)</t>
        </is>
      </c>
    </row>
    <row r="279" ht="20" customHeight="1">
      <c r="B279" s="18" t="inlineStr">
        <is>
          <t>PAN Details</t>
        </is>
      </c>
      <c r="E279" s="19" t="inlineStr">
        <is>
          <t>Income Tax Details</t>
        </is>
      </c>
    </row>
    <row r="280" ht="18" customHeight="1">
      <c r="B280" s="20" t="inlineStr">
        <is>
          <t>PAN</t>
        </is>
      </c>
      <c r="C280" s="21" t="inlineStr">
        <is>
          <t>AABCN5678R</t>
        </is>
      </c>
      <c r="E280" s="20" t="inlineStr">
        <is>
          <t>PAN</t>
        </is>
      </c>
      <c r="F280" s="21" t="inlineStr">
        <is>
          <t>AABCN5678R</t>
        </is>
      </c>
    </row>
    <row r="281" ht="18" customHeight="1">
      <c r="B281" s="20" t="inlineStr">
        <is>
          <t>Name as per PAN</t>
        </is>
      </c>
      <c r="C281" s="21" t="inlineStr">
        <is>
          <t>Narmada Flour &amp; Agro Mills Pvt Ltd</t>
        </is>
      </c>
      <c r="E281" s="20" t="inlineStr">
        <is>
          <t>Assessee Name</t>
        </is>
      </c>
      <c r="F281" s="21" t="inlineStr">
        <is>
          <t>Narmada Flour &amp; Agro Mills Pvt Ltd</t>
        </is>
      </c>
    </row>
    <row r="282" ht="18" customHeight="1">
      <c r="B282" s="20" t="inlineStr">
        <is>
          <t>PAN Holder Type</t>
        </is>
      </c>
      <c r="C282" s="21" t="inlineStr">
        <is>
          <t>Company</t>
        </is>
      </c>
      <c r="E282" s="20" t="inlineStr">
        <is>
          <t>Assessment Year</t>
        </is>
      </c>
      <c r="F282" s="21" t="inlineStr">
        <is>
          <t>2025–26</t>
        </is>
      </c>
    </row>
    <row r="283" ht="18" customHeight="1">
      <c r="B283" s="20" t="inlineStr">
        <is>
          <t>Date of Incorporation</t>
        </is>
      </c>
      <c r="C283" s="21" t="inlineStr">
        <is>
          <t>25/01/2017</t>
        </is>
      </c>
      <c r="E283" s="20" t="inlineStr">
        <is>
          <t>Previous Year</t>
        </is>
      </c>
      <c r="F283" s="21" t="inlineStr">
        <is>
          <t>2024–25</t>
        </is>
      </c>
    </row>
    <row r="284" ht="18" customHeight="1">
      <c r="B284" s="20" t="inlineStr">
        <is>
          <t>Address</t>
        </is>
      </c>
      <c r="C284" s="21" t="inlineStr">
        <is>
          <t>Sanwer Road Industrial Area, Sector C, Indore, Madhya Pradesh – 452015</t>
        </is>
      </c>
      <c r="E284" s="20" t="inlineStr">
        <is>
          <t>Return Form</t>
        </is>
      </c>
      <c r="F284" s="21" t="inlineStr">
        <is>
          <t>ITR-6</t>
        </is>
      </c>
    </row>
    <row r="285" ht="18" customHeight="1">
      <c r="B285" s="20" t="inlineStr">
        <is>
          <t>State</t>
        </is>
      </c>
      <c r="C285" s="21" t="inlineStr">
        <is>
          <t>Madhya Pradesh</t>
        </is>
      </c>
      <c r="E285" s="20" t="inlineStr">
        <is>
          <t>Nature of Entity</t>
        </is>
      </c>
      <c r="F285" s="21" t="inlineStr">
        <is>
          <t>Domestic Company</t>
        </is>
      </c>
    </row>
    <row r="286" ht="18" customHeight="1">
      <c r="B286" s="20" t="inlineStr">
        <is>
          <t>Country</t>
        </is>
      </c>
      <c r="C286" s="21" t="inlineStr">
        <is>
          <t>India</t>
        </is>
      </c>
      <c r="E286" s="20" t="inlineStr">
        <is>
          <t>Nature of Business</t>
        </is>
      </c>
      <c r="F286" s="21" t="inlineStr">
        <is>
          <t>Flour Milling (Atta, Maida, Suji)</t>
        </is>
      </c>
    </row>
    <row r="287" ht="18" customHeight="1">
      <c r="B287" s="22" t="n"/>
      <c r="C287" s="22" t="n"/>
      <c r="E287" s="20" t="inlineStr">
        <is>
          <t>Business Code</t>
        </is>
      </c>
      <c r="F287" s="21" t="inlineStr">
        <is>
          <t>10611</t>
        </is>
      </c>
    </row>
    <row r="288" ht="18" customHeight="1">
      <c r="B288" s="22" t="n"/>
      <c r="C288" s="22" t="n"/>
      <c r="E288" s="20" t="inlineStr">
        <is>
          <t>Gross Total Income</t>
        </is>
      </c>
      <c r="F288" s="21" t="inlineStr">
        <is>
          <t>₹205,000,000</t>
        </is>
      </c>
    </row>
    <row r="289" ht="18" customHeight="1">
      <c r="B289" s="22" t="n"/>
      <c r="C289" s="22" t="n"/>
      <c r="E289" s="20" t="inlineStr">
        <is>
          <t>Total Income</t>
        </is>
      </c>
      <c r="F289" s="21" t="inlineStr">
        <is>
          <t>₹195,000,000</t>
        </is>
      </c>
    </row>
    <row r="290" ht="18" customHeight="1">
      <c r="B290" s="22" t="n"/>
      <c r="C290" s="22" t="n"/>
      <c r="E290" s="20" t="inlineStr">
        <is>
          <t>Taxable Income</t>
        </is>
      </c>
      <c r="F290" s="21" t="inlineStr">
        <is>
          <t>₹195,000,000</t>
        </is>
      </c>
    </row>
    <row r="291" ht="18" customHeight="1">
      <c r="B291" s="22" t="n"/>
      <c r="C291" s="22" t="n"/>
      <c r="E291" s="20" t="inlineStr">
        <is>
          <t>Income Tax</t>
        </is>
      </c>
      <c r="F291" s="21" t="inlineStr">
        <is>
          <t>₹48,750,000</t>
        </is>
      </c>
    </row>
    <row r="292" ht="18" customHeight="1">
      <c r="B292" s="22" t="n"/>
      <c r="C292" s="22" t="n"/>
      <c r="E292" s="20" t="inlineStr">
        <is>
          <t>Health &amp; Education Cess</t>
        </is>
      </c>
      <c r="F292" s="21" t="inlineStr">
        <is>
          <t>₹1,950,000</t>
        </is>
      </c>
    </row>
    <row r="293" ht="18" customHeight="1">
      <c r="B293" s="22" t="n"/>
      <c r="C293" s="22" t="n"/>
      <c r="E293" s="20" t="inlineStr">
        <is>
          <t>Total Tax Liability</t>
        </is>
      </c>
      <c r="F293" s="21" t="inlineStr">
        <is>
          <t>₹50,700,000</t>
        </is>
      </c>
    </row>
    <row r="294" ht="18" customHeight="1">
      <c r="B294" s="22" t="n"/>
      <c r="C294" s="22" t="n"/>
      <c r="E294" s="20" t="inlineStr">
        <is>
          <t>TDS/TCS Credit</t>
        </is>
      </c>
      <c r="F294" s="21" t="inlineStr">
        <is>
          <t>₹3,100,000</t>
        </is>
      </c>
    </row>
    <row r="295" ht="18" customHeight="1">
      <c r="B295" s="22" t="n"/>
      <c r="C295" s="22" t="n"/>
      <c r="E295" s="20" t="inlineStr">
        <is>
          <t>Advance Tax Paid</t>
        </is>
      </c>
      <c r="F295" s="21" t="inlineStr">
        <is>
          <t>₹45,000,000</t>
        </is>
      </c>
    </row>
    <row r="296" ht="18" customHeight="1">
      <c r="B296" s="22" t="n"/>
      <c r="C296" s="22" t="n"/>
      <c r="E296" s="20" t="inlineStr">
        <is>
          <t>Self-Assessment Tax</t>
        </is>
      </c>
      <c r="F296" s="21" t="inlineStr">
        <is>
          <t>₹2,600,000</t>
        </is>
      </c>
    </row>
    <row r="297" ht="18" customHeight="1">
      <c r="B297" s="22" t="n"/>
      <c r="C297" s="22" t="n"/>
      <c r="E297" s="20" t="inlineStr">
        <is>
          <t>Return Filing Date</t>
        </is>
      </c>
      <c r="F297" s="21" t="inlineStr">
        <is>
          <t>29/09/2025</t>
        </is>
      </c>
    </row>
    <row r="298" ht="18" customHeight="1">
      <c r="B298" s="22" t="n"/>
      <c r="C298" s="22" t="n"/>
      <c r="E298" s="20" t="inlineStr">
        <is>
          <t>Authorized Signatory</t>
        </is>
      </c>
      <c r="F298" s="21" t="inlineStr">
        <is>
          <t>Anand Agarwal</t>
        </is>
      </c>
    </row>
    <row r="299" ht="18" customHeight="1">
      <c r="B299" s="22" t="n"/>
      <c r="C299" s="22" t="n"/>
      <c r="E299" s="20" t="inlineStr">
        <is>
          <t>Designation</t>
        </is>
      </c>
      <c r="F299" s="21" t="inlineStr">
        <is>
          <t>Director</t>
        </is>
      </c>
    </row>
    <row r="301" ht="24" customHeight="1">
      <c r="B301" s="17" t="inlineStr">
        <is>
          <t>MOCK DATA SET 14: BEDI SPORTS GOODS MANUFACTURING CO (AAAFB6789S)</t>
        </is>
      </c>
    </row>
    <row r="302" ht="20" customHeight="1">
      <c r="B302" s="18" t="inlineStr">
        <is>
          <t>PAN Details</t>
        </is>
      </c>
      <c r="E302" s="19" t="inlineStr">
        <is>
          <t>Income Tax Details</t>
        </is>
      </c>
    </row>
    <row r="303" ht="18" customHeight="1">
      <c r="B303" s="20" t="inlineStr">
        <is>
          <t>PAN</t>
        </is>
      </c>
      <c r="C303" s="21" t="inlineStr">
        <is>
          <t>AAAFB6789S</t>
        </is>
      </c>
      <c r="E303" s="20" t="inlineStr">
        <is>
          <t>PAN</t>
        </is>
      </c>
      <c r="F303" s="21" t="inlineStr">
        <is>
          <t>AAAFB6789S</t>
        </is>
      </c>
    </row>
    <row r="304" ht="18" customHeight="1">
      <c r="B304" s="20" t="inlineStr">
        <is>
          <t>Name as per PAN</t>
        </is>
      </c>
      <c r="C304" s="21" t="inlineStr">
        <is>
          <t>Bedi Sports Goods Manufacturing Co</t>
        </is>
      </c>
      <c r="E304" s="20" t="inlineStr">
        <is>
          <t>Assessee Name</t>
        </is>
      </c>
      <c r="F304" s="21" t="inlineStr">
        <is>
          <t>Bedi Sports Goods Manufacturing Co</t>
        </is>
      </c>
    </row>
    <row r="305" ht="18" customHeight="1">
      <c r="B305" s="20" t="inlineStr">
        <is>
          <t>PAN Holder Type</t>
        </is>
      </c>
      <c r="C305" s="21" t="inlineStr">
        <is>
          <t>Partnership Firm</t>
        </is>
      </c>
      <c r="E305" s="20" t="inlineStr">
        <is>
          <t>Assessment Year</t>
        </is>
      </c>
      <c r="F305" s="21" t="inlineStr">
        <is>
          <t>2025–26</t>
        </is>
      </c>
    </row>
    <row r="306" ht="18" customHeight="1">
      <c r="B306" s="20" t="inlineStr">
        <is>
          <t>Date of Incorporation</t>
        </is>
      </c>
      <c r="C306" s="21" t="inlineStr">
        <is>
          <t>19/08/2013</t>
        </is>
      </c>
      <c r="E306" s="20" t="inlineStr">
        <is>
          <t>Previous Year</t>
        </is>
      </c>
      <c r="F306" s="21" t="inlineStr">
        <is>
          <t>2024–25</t>
        </is>
      </c>
    </row>
    <row r="307" ht="18" customHeight="1">
      <c r="B307" s="20" t="inlineStr">
        <is>
          <t>Address</t>
        </is>
      </c>
      <c r="C307" s="21" t="inlineStr">
        <is>
          <t>Leather Complex Road, Jalandhar, Punjab – 144021</t>
        </is>
      </c>
      <c r="E307" s="20" t="inlineStr">
        <is>
          <t>Return Form</t>
        </is>
      </c>
      <c r="F307" s="21" t="inlineStr">
        <is>
          <t>ITR-5</t>
        </is>
      </c>
    </row>
    <row r="308" ht="18" customHeight="1">
      <c r="B308" s="20" t="inlineStr">
        <is>
          <t>State</t>
        </is>
      </c>
      <c r="C308" s="21" t="inlineStr">
        <is>
          <t>Punjab</t>
        </is>
      </c>
      <c r="E308" s="20" t="inlineStr">
        <is>
          <t>Nature of Entity</t>
        </is>
      </c>
      <c r="F308" s="21" t="inlineStr">
        <is>
          <t>Partnership Firm</t>
        </is>
      </c>
    </row>
    <row r="309" ht="18" customHeight="1">
      <c r="B309" s="20" t="inlineStr">
        <is>
          <t>Country</t>
        </is>
      </c>
      <c r="C309" s="21" t="inlineStr">
        <is>
          <t>India</t>
        </is>
      </c>
      <c r="E309" s="20" t="inlineStr">
        <is>
          <t>Nature of Business</t>
        </is>
      </c>
      <c r="F309" s="21" t="inlineStr">
        <is>
          <t>Manufacture of Sports Goods &amp; Equipment</t>
        </is>
      </c>
    </row>
    <row r="310" ht="18" customHeight="1">
      <c r="B310" s="22" t="n"/>
      <c r="C310" s="22" t="n"/>
      <c r="E310" s="20" t="inlineStr">
        <is>
          <t>Business Code</t>
        </is>
      </c>
      <c r="F310" s="21" t="inlineStr">
        <is>
          <t>32300</t>
        </is>
      </c>
    </row>
    <row r="311" ht="18" customHeight="1">
      <c r="B311" s="22" t="n"/>
      <c r="C311" s="22" t="n"/>
      <c r="E311" s="20" t="inlineStr">
        <is>
          <t>Gross Total Income</t>
        </is>
      </c>
      <c r="F311" s="21" t="inlineStr">
        <is>
          <t>₹81,000,000</t>
        </is>
      </c>
    </row>
    <row r="312" ht="18" customHeight="1">
      <c r="B312" s="22" t="n"/>
      <c r="C312" s="22" t="n"/>
      <c r="E312" s="20" t="inlineStr">
        <is>
          <t>Total Income</t>
        </is>
      </c>
      <c r="F312" s="21" t="inlineStr">
        <is>
          <t>₹76,000,000</t>
        </is>
      </c>
    </row>
    <row r="313" ht="18" customHeight="1">
      <c r="B313" s="22" t="n"/>
      <c r="C313" s="22" t="n"/>
      <c r="E313" s="20" t="inlineStr">
        <is>
          <t>Taxable Income</t>
        </is>
      </c>
      <c r="F313" s="21" t="inlineStr">
        <is>
          <t>₹76,000,000</t>
        </is>
      </c>
    </row>
    <row r="314" ht="18" customHeight="1">
      <c r="B314" s="22" t="n"/>
      <c r="C314" s="22" t="n"/>
      <c r="E314" s="20" t="inlineStr">
        <is>
          <t>Income Tax</t>
        </is>
      </c>
      <c r="F314" s="21" t="inlineStr">
        <is>
          <t>₹22,800,000</t>
        </is>
      </c>
    </row>
    <row r="315" ht="18" customHeight="1">
      <c r="B315" s="22" t="n"/>
      <c r="C315" s="22" t="n"/>
      <c r="E315" s="20" t="inlineStr">
        <is>
          <t>Health &amp; Education Cess</t>
        </is>
      </c>
      <c r="F315" s="21" t="inlineStr">
        <is>
          <t>₹912,000</t>
        </is>
      </c>
    </row>
    <row r="316" ht="18" customHeight="1">
      <c r="B316" s="22" t="n"/>
      <c r="C316" s="22" t="n"/>
      <c r="E316" s="20" t="inlineStr">
        <is>
          <t>Total Tax Liability</t>
        </is>
      </c>
      <c r="F316" s="21" t="inlineStr">
        <is>
          <t>₹23,712,000</t>
        </is>
      </c>
    </row>
    <row r="317" ht="18" customHeight="1">
      <c r="B317" s="22" t="n"/>
      <c r="C317" s="22" t="n"/>
      <c r="E317" s="20" t="inlineStr">
        <is>
          <t>TDS/TCS Credit</t>
        </is>
      </c>
      <c r="F317" s="21" t="inlineStr">
        <is>
          <t>₹1,200,000</t>
        </is>
      </c>
    </row>
    <row r="318" ht="18" customHeight="1">
      <c r="B318" s="22" t="n"/>
      <c r="C318" s="22" t="n"/>
      <c r="E318" s="20" t="inlineStr">
        <is>
          <t>Advance Tax Paid</t>
        </is>
      </c>
      <c r="F318" s="21" t="inlineStr">
        <is>
          <t>₹21,500,000</t>
        </is>
      </c>
    </row>
    <row r="319" ht="18" customHeight="1">
      <c r="B319" s="22" t="n"/>
      <c r="C319" s="22" t="n"/>
      <c r="E319" s="20" t="inlineStr">
        <is>
          <t>Self-Assessment Tax</t>
        </is>
      </c>
      <c r="F319" s="21" t="inlineStr">
        <is>
          <t>₹1,012,000</t>
        </is>
      </c>
    </row>
    <row r="320" ht="18" customHeight="1">
      <c r="B320" s="22" t="n"/>
      <c r="C320" s="22" t="n"/>
      <c r="E320" s="20" t="inlineStr">
        <is>
          <t>Return Filing Date</t>
        </is>
      </c>
      <c r="F320" s="21" t="inlineStr">
        <is>
          <t>19/10/2025</t>
        </is>
      </c>
    </row>
    <row r="321" ht="18" customHeight="1">
      <c r="B321" s="22" t="n"/>
      <c r="C321" s="22" t="n"/>
      <c r="E321" s="20" t="inlineStr">
        <is>
          <t>Authorized Signatory</t>
        </is>
      </c>
      <c r="F321" s="21" t="inlineStr">
        <is>
          <t>Harpreet Singh Bedi</t>
        </is>
      </c>
    </row>
    <row r="322" ht="18" customHeight="1">
      <c r="B322" s="22" t="n"/>
      <c r="C322" s="22" t="n"/>
      <c r="E322" s="20" t="inlineStr">
        <is>
          <t>Designation</t>
        </is>
      </c>
      <c r="F322" s="21" t="inlineStr">
        <is>
          <t>Partner</t>
        </is>
      </c>
    </row>
    <row r="324" ht="24" customHeight="1">
      <c r="B324" s="17" t="inlineStr">
        <is>
          <t>MOCK DATA SET 15: KALINGA METAL FABRICATION WORKS (BCDPK7890T)</t>
        </is>
      </c>
    </row>
    <row r="325" ht="20" customHeight="1">
      <c r="B325" s="18" t="inlineStr">
        <is>
          <t>PAN Details</t>
        </is>
      </c>
      <c r="E325" s="19" t="inlineStr">
        <is>
          <t>Income Tax Details</t>
        </is>
      </c>
    </row>
    <row r="326" ht="18" customHeight="1">
      <c r="B326" s="20" t="inlineStr">
        <is>
          <t>PAN</t>
        </is>
      </c>
      <c r="C326" s="21" t="inlineStr">
        <is>
          <t>BCDPK7890T</t>
        </is>
      </c>
      <c r="E326" s="20" t="inlineStr">
        <is>
          <t>PAN</t>
        </is>
      </c>
      <c r="F326" s="21" t="inlineStr">
        <is>
          <t>BCDPK7890T</t>
        </is>
      </c>
    </row>
    <row r="327" ht="18" customHeight="1">
      <c r="B327" s="20" t="inlineStr">
        <is>
          <t>Name as per PAN</t>
        </is>
      </c>
      <c r="C327" s="21" t="inlineStr">
        <is>
          <t>Kalinga Metal Fabrication Works</t>
        </is>
      </c>
      <c r="E327" s="20" t="inlineStr">
        <is>
          <t>Assessee Name</t>
        </is>
      </c>
      <c r="F327" s="21" t="inlineStr">
        <is>
          <t>Kalinga Metal Fabrication Works</t>
        </is>
      </c>
    </row>
    <row r="328" ht="18" customHeight="1">
      <c r="B328" s="20" t="inlineStr">
        <is>
          <t>PAN Holder Type</t>
        </is>
      </c>
      <c r="C328" s="21" t="inlineStr">
        <is>
          <t>Individual / Proprietorship</t>
        </is>
      </c>
      <c r="E328" s="20" t="inlineStr">
        <is>
          <t>Assessment Year</t>
        </is>
      </c>
      <c r="F328" s="21" t="inlineStr">
        <is>
          <t>2025–26</t>
        </is>
      </c>
    </row>
    <row r="329" ht="18" customHeight="1">
      <c r="B329" s="20" t="inlineStr">
        <is>
          <t>Date of Incorporation</t>
        </is>
      </c>
      <c r="C329" s="21" t="inlineStr">
        <is>
          <t>08/03/2018</t>
        </is>
      </c>
      <c r="E329" s="20" t="inlineStr">
        <is>
          <t>Previous Year</t>
        </is>
      </c>
      <c r="F329" s="21" t="inlineStr">
        <is>
          <t>2024–25</t>
        </is>
      </c>
    </row>
    <row r="330" ht="18" customHeight="1">
      <c r="B330" s="20" t="inlineStr">
        <is>
          <t>Address</t>
        </is>
      </c>
      <c r="C330" s="21" t="inlineStr">
        <is>
          <t>Jagpur Industrial Area, Cuttack, Odisha – 754021</t>
        </is>
      </c>
      <c r="E330" s="20" t="inlineStr">
        <is>
          <t>Return Form</t>
        </is>
      </c>
      <c r="F330" s="21" t="inlineStr">
        <is>
          <t>ITR-3</t>
        </is>
      </c>
    </row>
    <row r="331" ht="18" customHeight="1">
      <c r="B331" s="20" t="inlineStr">
        <is>
          <t>State</t>
        </is>
      </c>
      <c r="C331" s="21" t="inlineStr">
        <is>
          <t>Odisha</t>
        </is>
      </c>
      <c r="E331" s="20" t="inlineStr">
        <is>
          <t>Nature of Entity</t>
        </is>
      </c>
      <c r="F331" s="21" t="inlineStr">
        <is>
          <t>Individual / HUF</t>
        </is>
      </c>
    </row>
    <row r="332" ht="18" customHeight="1">
      <c r="B332" s="20" t="inlineStr">
        <is>
          <t>Country</t>
        </is>
      </c>
      <c r="C332" s="21" t="inlineStr">
        <is>
          <t>India</t>
        </is>
      </c>
      <c r="E332" s="20" t="inlineStr">
        <is>
          <t>Nature of Business</t>
        </is>
      </c>
      <c r="F332" s="21" t="inlineStr">
        <is>
          <t>Doors, Windows &amp; Structural Metal Work</t>
        </is>
      </c>
    </row>
    <row r="333" ht="18" customHeight="1">
      <c r="B333" s="22" t="n"/>
      <c r="C333" s="22" t="n"/>
      <c r="E333" s="20" t="inlineStr">
        <is>
          <t>Business Code</t>
        </is>
      </c>
      <c r="F333" s="21" t="inlineStr">
        <is>
          <t>25111</t>
        </is>
      </c>
    </row>
    <row r="334" ht="18" customHeight="1">
      <c r="B334" s="22" t="n"/>
      <c r="C334" s="22" t="n"/>
      <c r="E334" s="20" t="inlineStr">
        <is>
          <t>Gross Total Income</t>
        </is>
      </c>
      <c r="F334" s="21" t="inlineStr">
        <is>
          <t>₹4,100,000</t>
        </is>
      </c>
    </row>
    <row r="335" ht="18" customHeight="1">
      <c r="B335" s="22" t="n"/>
      <c r="C335" s="22" t="n"/>
      <c r="E335" s="20" t="inlineStr">
        <is>
          <t>Total Income</t>
        </is>
      </c>
      <c r="F335" s="21" t="inlineStr">
        <is>
          <t>₹3,800,000</t>
        </is>
      </c>
    </row>
    <row r="336" ht="18" customHeight="1">
      <c r="B336" s="22" t="n"/>
      <c r="C336" s="22" t="n"/>
      <c r="E336" s="20" t="inlineStr">
        <is>
          <t>Taxable Income</t>
        </is>
      </c>
      <c r="F336" s="21" t="inlineStr">
        <is>
          <t>₹3,800,000</t>
        </is>
      </c>
    </row>
    <row r="337" ht="18" customHeight="1">
      <c r="B337" s="22" t="n"/>
      <c r="C337" s="22" t="n"/>
      <c r="E337" s="20" t="inlineStr">
        <is>
          <t>Income Tax</t>
        </is>
      </c>
      <c r="F337" s="21" t="inlineStr">
        <is>
          <t>₹1,140,000</t>
        </is>
      </c>
    </row>
    <row r="338" ht="18" customHeight="1">
      <c r="B338" s="22" t="n"/>
      <c r="C338" s="22" t="n"/>
      <c r="E338" s="20" t="inlineStr">
        <is>
          <t>Health &amp; Education Cess</t>
        </is>
      </c>
      <c r="F338" s="21" t="inlineStr">
        <is>
          <t>₹45,600</t>
        </is>
      </c>
    </row>
    <row r="339" ht="18" customHeight="1">
      <c r="B339" s="22" t="n"/>
      <c r="C339" s="22" t="n"/>
      <c r="E339" s="20" t="inlineStr">
        <is>
          <t>Total Tax Liability</t>
        </is>
      </c>
      <c r="F339" s="21" t="inlineStr">
        <is>
          <t>₹1,185,600</t>
        </is>
      </c>
    </row>
    <row r="340" ht="18" customHeight="1">
      <c r="B340" s="22" t="n"/>
      <c r="C340" s="22" t="n"/>
      <c r="E340" s="20" t="inlineStr">
        <is>
          <t>TDS/TCS Credit</t>
        </is>
      </c>
      <c r="F340" s="21" t="inlineStr">
        <is>
          <t>₹85,000</t>
        </is>
      </c>
    </row>
    <row r="341" ht="18" customHeight="1">
      <c r="B341" s="22" t="n"/>
      <c r="C341" s="22" t="n"/>
      <c r="E341" s="20" t="inlineStr">
        <is>
          <t>Advance Tax Paid</t>
        </is>
      </c>
      <c r="F341" s="21" t="inlineStr">
        <is>
          <t>₹1,020,000</t>
        </is>
      </c>
    </row>
    <row r="342" ht="18" customHeight="1">
      <c r="B342" s="22" t="n"/>
      <c r="C342" s="22" t="n"/>
      <c r="E342" s="20" t="inlineStr">
        <is>
          <t>Self-Assessment Tax</t>
        </is>
      </c>
      <c r="F342" s="21" t="inlineStr">
        <is>
          <t>₹80,600</t>
        </is>
      </c>
    </row>
    <row r="343" ht="18" customHeight="1">
      <c r="B343" s="22" t="n"/>
      <c r="C343" s="22" t="n"/>
      <c r="E343" s="20" t="inlineStr">
        <is>
          <t>Return Filing Date</t>
        </is>
      </c>
      <c r="F343" s="21" t="inlineStr">
        <is>
          <t>12/10/2025</t>
        </is>
      </c>
    </row>
    <row r="344" ht="18" customHeight="1">
      <c r="B344" s="22" t="n"/>
      <c r="C344" s="22" t="n"/>
      <c r="E344" s="20" t="inlineStr">
        <is>
          <t>Authorized Signatory</t>
        </is>
      </c>
      <c r="F344" s="21" t="inlineStr">
        <is>
          <t>Debashis Mohapatra</t>
        </is>
      </c>
    </row>
    <row r="345" ht="18" customHeight="1">
      <c r="B345" s="22" t="n"/>
      <c r="C345" s="22" t="n"/>
      <c r="E345" s="20" t="inlineStr">
        <is>
          <t>Designation</t>
        </is>
      </c>
      <c r="F345" s="21" t="inlineStr">
        <is>
          <t>Proprietor</t>
        </is>
      </c>
    </row>
    <row r="347" ht="24" customHeight="1">
      <c r="B347" s="17" t="inlineStr">
        <is>
          <t>MOCK DATA SET 16: SRI BALAJI COLD STORAGE &amp; WAREHOUSING (AAAFS1234U)</t>
        </is>
      </c>
    </row>
    <row r="348" ht="20" customHeight="1">
      <c r="B348" s="18" t="inlineStr">
        <is>
          <t>PAN Details</t>
        </is>
      </c>
      <c r="E348" s="19" t="inlineStr">
        <is>
          <t>Income Tax Details</t>
        </is>
      </c>
    </row>
    <row r="349" ht="18" customHeight="1">
      <c r="B349" s="20" t="inlineStr">
        <is>
          <t>PAN</t>
        </is>
      </c>
      <c r="C349" s="21" t="inlineStr">
        <is>
          <t>AAAFS1234U</t>
        </is>
      </c>
      <c r="E349" s="20" t="inlineStr">
        <is>
          <t>PAN</t>
        </is>
      </c>
      <c r="F349" s="21" t="inlineStr">
        <is>
          <t>AAAFS1234U</t>
        </is>
      </c>
    </row>
    <row r="350" ht="18" customHeight="1">
      <c r="B350" s="20" t="inlineStr">
        <is>
          <t>Name as per PAN</t>
        </is>
      </c>
      <c r="C350" s="21" t="inlineStr">
        <is>
          <t>Sri Balaji Cold Storage &amp; Warehousing</t>
        </is>
      </c>
      <c r="E350" s="20" t="inlineStr">
        <is>
          <t>Assessee Name</t>
        </is>
      </c>
      <c r="F350" s="21" t="inlineStr">
        <is>
          <t>Sri Balaji Cold Storage &amp; Warehousing</t>
        </is>
      </c>
    </row>
    <row r="351" ht="18" customHeight="1">
      <c r="B351" s="20" t="inlineStr">
        <is>
          <t>PAN Holder Type</t>
        </is>
      </c>
      <c r="C351" s="21" t="inlineStr">
        <is>
          <t>Partnership Firm</t>
        </is>
      </c>
      <c r="E351" s="20" t="inlineStr">
        <is>
          <t>Assessment Year</t>
        </is>
      </c>
      <c r="F351" s="21" t="inlineStr">
        <is>
          <t>2025–26</t>
        </is>
      </c>
    </row>
    <row r="352" ht="18" customHeight="1">
      <c r="B352" s="20" t="inlineStr">
        <is>
          <t>Date of Incorporation</t>
        </is>
      </c>
      <c r="C352" s="21" t="inlineStr">
        <is>
          <t>14/06/2016</t>
        </is>
      </c>
      <c r="E352" s="20" t="inlineStr">
        <is>
          <t>Previous Year</t>
        </is>
      </c>
      <c r="F352" s="21" t="inlineStr">
        <is>
          <t>2024–25</t>
        </is>
      </c>
    </row>
    <row r="353" ht="18" customHeight="1">
      <c r="B353" s="20" t="inlineStr">
        <is>
          <t>Address</t>
        </is>
      </c>
      <c r="C353" s="21" t="inlineStr">
        <is>
          <t>NH-16 Bypass Road, Guntur, Andhra Pradesh – 522019</t>
        </is>
      </c>
      <c r="E353" s="20" t="inlineStr">
        <is>
          <t>Return Form</t>
        </is>
      </c>
      <c r="F353" s="21" t="inlineStr">
        <is>
          <t>ITR-5</t>
        </is>
      </c>
    </row>
    <row r="354" ht="18" customHeight="1">
      <c r="B354" s="20" t="inlineStr">
        <is>
          <t>State</t>
        </is>
      </c>
      <c r="C354" s="21" t="inlineStr">
        <is>
          <t>Andhra Pradesh</t>
        </is>
      </c>
      <c r="E354" s="20" t="inlineStr">
        <is>
          <t>Nature of Entity</t>
        </is>
      </c>
      <c r="F354" s="21" t="inlineStr">
        <is>
          <t>Partnership Firm</t>
        </is>
      </c>
    </row>
    <row r="355" ht="18" customHeight="1">
      <c r="B355" s="20" t="inlineStr">
        <is>
          <t>Country</t>
        </is>
      </c>
      <c r="C355" s="21" t="inlineStr">
        <is>
          <t>India</t>
        </is>
      </c>
      <c r="E355" s="20" t="inlineStr">
        <is>
          <t>Nature of Business</t>
        </is>
      </c>
      <c r="F355" s="21" t="inlineStr">
        <is>
          <t>Storage &amp; Warehousing - Cold Storage</t>
        </is>
      </c>
    </row>
    <row r="356" ht="18" customHeight="1">
      <c r="B356" s="22" t="n"/>
      <c r="C356" s="22" t="n"/>
      <c r="E356" s="20" t="inlineStr">
        <is>
          <t>Business Code</t>
        </is>
      </c>
      <c r="F356" s="21" t="inlineStr">
        <is>
          <t>52109</t>
        </is>
      </c>
    </row>
    <row r="357" ht="18" customHeight="1">
      <c r="B357" s="22" t="n"/>
      <c r="C357" s="22" t="n"/>
      <c r="E357" s="20" t="inlineStr">
        <is>
          <t>Gross Total Income</t>
        </is>
      </c>
      <c r="F357" s="21" t="inlineStr">
        <is>
          <t>₹129,000,000</t>
        </is>
      </c>
    </row>
    <row r="358" ht="18" customHeight="1">
      <c r="B358" s="22" t="n"/>
      <c r="C358" s="22" t="n"/>
      <c r="E358" s="20" t="inlineStr">
        <is>
          <t>Total Income</t>
        </is>
      </c>
      <c r="F358" s="21" t="inlineStr">
        <is>
          <t>₹121,000,000</t>
        </is>
      </c>
    </row>
    <row r="359" ht="18" customHeight="1">
      <c r="B359" s="22" t="n"/>
      <c r="C359" s="22" t="n"/>
      <c r="E359" s="20" t="inlineStr">
        <is>
          <t>Taxable Income</t>
        </is>
      </c>
      <c r="F359" s="21" t="inlineStr">
        <is>
          <t>₹121,000,000</t>
        </is>
      </c>
    </row>
    <row r="360" ht="18" customHeight="1">
      <c r="B360" s="22" t="n"/>
      <c r="C360" s="22" t="n"/>
      <c r="E360" s="20" t="inlineStr">
        <is>
          <t>Income Tax</t>
        </is>
      </c>
      <c r="F360" s="21" t="inlineStr">
        <is>
          <t>₹36,300,000</t>
        </is>
      </c>
    </row>
    <row r="361" ht="18" customHeight="1">
      <c r="B361" s="22" t="n"/>
      <c r="C361" s="22" t="n"/>
      <c r="E361" s="20" t="inlineStr">
        <is>
          <t>Health &amp; Education Cess</t>
        </is>
      </c>
      <c r="F361" s="21" t="inlineStr">
        <is>
          <t>₹1,452,000</t>
        </is>
      </c>
    </row>
    <row r="362" ht="18" customHeight="1">
      <c r="B362" s="22" t="n"/>
      <c r="C362" s="22" t="n"/>
      <c r="E362" s="20" t="inlineStr">
        <is>
          <t>Total Tax Liability</t>
        </is>
      </c>
      <c r="F362" s="21" t="inlineStr">
        <is>
          <t>₹37,752,000</t>
        </is>
      </c>
    </row>
    <row r="363" ht="18" customHeight="1">
      <c r="B363" s="22" t="n"/>
      <c r="C363" s="22" t="n"/>
      <c r="E363" s="20" t="inlineStr">
        <is>
          <t>TDS/TCS Credit</t>
        </is>
      </c>
      <c r="F363" s="21" t="inlineStr">
        <is>
          <t>₹2,400,000</t>
        </is>
      </c>
    </row>
    <row r="364" ht="18" customHeight="1">
      <c r="B364" s="22" t="n"/>
      <c r="C364" s="22" t="n"/>
      <c r="E364" s="20" t="inlineStr">
        <is>
          <t>Advance Tax Paid</t>
        </is>
      </c>
      <c r="F364" s="21" t="inlineStr">
        <is>
          <t>₹33,500,000</t>
        </is>
      </c>
    </row>
    <row r="365" ht="18" customHeight="1">
      <c r="B365" s="22" t="n"/>
      <c r="C365" s="22" t="n"/>
      <c r="E365" s="20" t="inlineStr">
        <is>
          <t>Self-Assessment Tax</t>
        </is>
      </c>
      <c r="F365" s="21" t="inlineStr">
        <is>
          <t>₹1,852,000</t>
        </is>
      </c>
    </row>
    <row r="366" ht="18" customHeight="1">
      <c r="B366" s="22" t="n"/>
      <c r="C366" s="22" t="n"/>
      <c r="E366" s="20" t="inlineStr">
        <is>
          <t>Return Filing Date</t>
        </is>
      </c>
      <c r="F366" s="21" t="inlineStr">
        <is>
          <t>21/10/2025</t>
        </is>
      </c>
    </row>
    <row r="367" ht="18" customHeight="1">
      <c r="B367" s="22" t="n"/>
      <c r="C367" s="22" t="n"/>
      <c r="E367" s="20" t="inlineStr">
        <is>
          <t>Authorized Signatory</t>
        </is>
      </c>
      <c r="F367" s="21" t="inlineStr">
        <is>
          <t>K. Venkateshwarlu</t>
        </is>
      </c>
    </row>
    <row r="368" ht="18" customHeight="1">
      <c r="B368" s="22" t="n"/>
      <c r="C368" s="22" t="n"/>
      <c r="E368" s="20" t="inlineStr">
        <is>
          <t>Designation</t>
        </is>
      </c>
      <c r="F368" s="21" t="inlineStr">
        <is>
          <t>Managing Partner</t>
        </is>
      </c>
    </row>
    <row r="370" ht="24" customHeight="1">
      <c r="B370" s="17" t="inlineStr">
        <is>
          <t>MOCK DATA SET 17: ZENITH CYBERNETICS PVT LTD (AABCZ9012V)</t>
        </is>
      </c>
    </row>
    <row r="371" ht="20" customHeight="1">
      <c r="B371" s="18" t="inlineStr">
        <is>
          <t>PAN Details</t>
        </is>
      </c>
      <c r="E371" s="19" t="inlineStr">
        <is>
          <t>Income Tax Details</t>
        </is>
      </c>
    </row>
    <row r="372" ht="18" customHeight="1">
      <c r="B372" s="20" t="inlineStr">
        <is>
          <t>PAN</t>
        </is>
      </c>
      <c r="C372" s="21" t="inlineStr">
        <is>
          <t>AABCZ9012V</t>
        </is>
      </c>
      <c r="E372" s="20" t="inlineStr">
        <is>
          <t>PAN</t>
        </is>
      </c>
      <c r="F372" s="21" t="inlineStr">
        <is>
          <t>AABCZ9012V</t>
        </is>
      </c>
    </row>
    <row r="373" ht="18" customHeight="1">
      <c r="B373" s="20" t="inlineStr">
        <is>
          <t>Name as per PAN</t>
        </is>
      </c>
      <c r="C373" s="21" t="inlineStr">
        <is>
          <t>Zenith Cybernetics Pvt Ltd</t>
        </is>
      </c>
      <c r="E373" s="20" t="inlineStr">
        <is>
          <t>Assessee Name</t>
        </is>
      </c>
      <c r="F373" s="21" t="inlineStr">
        <is>
          <t>Zenith Cybernetics Pvt Ltd</t>
        </is>
      </c>
    </row>
    <row r="374" ht="18" customHeight="1">
      <c r="B374" s="20" t="inlineStr">
        <is>
          <t>PAN Holder Type</t>
        </is>
      </c>
      <c r="C374" s="21" t="inlineStr">
        <is>
          <t>Company</t>
        </is>
      </c>
      <c r="E374" s="20" t="inlineStr">
        <is>
          <t>Assessment Year</t>
        </is>
      </c>
      <c r="F374" s="21" t="inlineStr">
        <is>
          <t>2025–26</t>
        </is>
      </c>
    </row>
    <row r="375" ht="18" customHeight="1">
      <c r="B375" s="20" t="inlineStr">
        <is>
          <t>Date of Incorporation</t>
        </is>
      </c>
      <c r="C375" s="21" t="inlineStr">
        <is>
          <t>01/09/2022</t>
        </is>
      </c>
      <c r="E375" s="20" t="inlineStr">
        <is>
          <t>Previous Year</t>
        </is>
      </c>
      <c r="F375" s="21" t="inlineStr">
        <is>
          <t>2024–25</t>
        </is>
      </c>
    </row>
    <row r="376" ht="18" customHeight="1">
      <c r="B376" s="20" t="inlineStr">
        <is>
          <t>Address</t>
        </is>
      </c>
      <c r="C376" s="21" t="inlineStr">
        <is>
          <t>Plot 12, Rajiv Gandhi Chandigarh Technology Park, Chandigarh – 160101</t>
        </is>
      </c>
      <c r="E376" s="20" t="inlineStr">
        <is>
          <t>Return Form</t>
        </is>
      </c>
      <c r="F376" s="21" t="inlineStr">
        <is>
          <t>ITR-6</t>
        </is>
      </c>
    </row>
    <row r="377" ht="18" customHeight="1">
      <c r="B377" s="20" t="inlineStr">
        <is>
          <t>State</t>
        </is>
      </c>
      <c r="C377" s="21" t="inlineStr">
        <is>
          <t>Chandigarh</t>
        </is>
      </c>
      <c r="E377" s="20" t="inlineStr">
        <is>
          <t>Nature of Entity</t>
        </is>
      </c>
      <c r="F377" s="21" t="inlineStr">
        <is>
          <t>Domestic Company</t>
        </is>
      </c>
    </row>
    <row r="378" ht="18" customHeight="1">
      <c r="B378" s="20" t="inlineStr">
        <is>
          <t>Country</t>
        </is>
      </c>
      <c r="C378" s="21" t="inlineStr">
        <is>
          <t>India</t>
        </is>
      </c>
      <c r="E378" s="20" t="inlineStr">
        <is>
          <t>Nature of Business</t>
        </is>
      </c>
      <c r="F378" s="21" t="inlineStr">
        <is>
          <t>Information Technology &amp; Computer Services</t>
        </is>
      </c>
    </row>
    <row r="379" ht="18" customHeight="1">
      <c r="B379" s="22" t="n"/>
      <c r="C379" s="22" t="n"/>
      <c r="E379" s="20" t="inlineStr">
        <is>
          <t>Business Code</t>
        </is>
      </c>
      <c r="F379" s="21" t="inlineStr">
        <is>
          <t>62099</t>
        </is>
      </c>
    </row>
    <row r="380" ht="18" customHeight="1">
      <c r="B380" s="22" t="n"/>
      <c r="C380" s="22" t="n"/>
      <c r="E380" s="20" t="inlineStr">
        <is>
          <t>Gross Total Income</t>
        </is>
      </c>
      <c r="F380" s="21" t="inlineStr">
        <is>
          <t>₹26,500,000</t>
        </is>
      </c>
    </row>
    <row r="381" ht="18" customHeight="1">
      <c r="B381" s="22" t="n"/>
      <c r="C381" s="22" t="n"/>
      <c r="E381" s="20" t="inlineStr">
        <is>
          <t>Total Income</t>
        </is>
      </c>
      <c r="F381" s="21" t="inlineStr">
        <is>
          <t>₹24,000,000</t>
        </is>
      </c>
    </row>
    <row r="382" ht="18" customHeight="1">
      <c r="B382" s="22" t="n"/>
      <c r="C382" s="22" t="n"/>
      <c r="E382" s="20" t="inlineStr">
        <is>
          <t>Taxable Income</t>
        </is>
      </c>
      <c r="F382" s="21" t="inlineStr">
        <is>
          <t>₹24,000,000</t>
        </is>
      </c>
    </row>
    <row r="383" ht="18" customHeight="1">
      <c r="B383" s="22" t="n"/>
      <c r="C383" s="22" t="n"/>
      <c r="E383" s="20" t="inlineStr">
        <is>
          <t>Income Tax</t>
        </is>
      </c>
      <c r="F383" s="21" t="inlineStr">
        <is>
          <t>₹6,000,000</t>
        </is>
      </c>
    </row>
    <row r="384" ht="18" customHeight="1">
      <c r="B384" s="22" t="n"/>
      <c r="C384" s="22" t="n"/>
      <c r="E384" s="20" t="inlineStr">
        <is>
          <t>Health &amp; Education Cess</t>
        </is>
      </c>
      <c r="F384" s="21" t="inlineStr">
        <is>
          <t>₹240,000</t>
        </is>
      </c>
    </row>
    <row r="385" ht="18" customHeight="1">
      <c r="B385" s="22" t="n"/>
      <c r="C385" s="22" t="n"/>
      <c r="E385" s="20" t="inlineStr">
        <is>
          <t>Total Tax Liability</t>
        </is>
      </c>
      <c r="F385" s="21" t="inlineStr">
        <is>
          <t>₹6,240,000</t>
        </is>
      </c>
    </row>
    <row r="386" ht="18" customHeight="1">
      <c r="B386" s="22" t="n"/>
      <c r="C386" s="22" t="n"/>
      <c r="E386" s="20" t="inlineStr">
        <is>
          <t>TDS/TCS Credit</t>
        </is>
      </c>
      <c r="F386" s="21" t="inlineStr">
        <is>
          <t>₹620,000</t>
        </is>
      </c>
    </row>
    <row r="387" ht="18" customHeight="1">
      <c r="B387" s="22" t="n"/>
      <c r="C387" s="22" t="n"/>
      <c r="E387" s="20" t="inlineStr">
        <is>
          <t>Advance Tax Paid</t>
        </is>
      </c>
      <c r="F387" s="21" t="inlineStr">
        <is>
          <t>₹5,200,000</t>
        </is>
      </c>
    </row>
    <row r="388" ht="18" customHeight="1">
      <c r="B388" s="22" t="n"/>
      <c r="C388" s="22" t="n"/>
      <c r="E388" s="20" t="inlineStr">
        <is>
          <t>Self-Assessment Tax</t>
        </is>
      </c>
      <c r="F388" s="21" t="inlineStr">
        <is>
          <t>₹420,000</t>
        </is>
      </c>
    </row>
    <row r="389" ht="18" customHeight="1">
      <c r="B389" s="22" t="n"/>
      <c r="C389" s="22" t="n"/>
      <c r="E389" s="20" t="inlineStr">
        <is>
          <t>Return Filing Date</t>
        </is>
      </c>
      <c r="F389" s="21" t="inlineStr">
        <is>
          <t>29/09/2025</t>
        </is>
      </c>
    </row>
    <row r="390" ht="18" customHeight="1">
      <c r="B390" s="22" t="n"/>
      <c r="C390" s="22" t="n"/>
      <c r="E390" s="20" t="inlineStr">
        <is>
          <t>Authorized Signatory</t>
        </is>
      </c>
      <c r="F390" s="21" t="inlineStr">
        <is>
          <t>Rohit Verma</t>
        </is>
      </c>
    </row>
    <row r="391" ht="18" customHeight="1">
      <c r="B391" s="22" t="n"/>
      <c r="C391" s="22" t="n"/>
      <c r="E391" s="20" t="inlineStr">
        <is>
          <t>Designation</t>
        </is>
      </c>
      <c r="F391" s="21" t="inlineStr">
        <is>
          <t>Director</t>
        </is>
      </c>
    </row>
    <row r="393" ht="24" customHeight="1">
      <c r="B393" s="17" t="inlineStr">
        <is>
          <t>MOCK DATA SET 18: MAGADH DAIRY PRODUCTS (BDEPM4567W)</t>
        </is>
      </c>
    </row>
    <row r="394" ht="20" customHeight="1">
      <c r="B394" s="18" t="inlineStr">
        <is>
          <t>PAN Details</t>
        </is>
      </c>
      <c r="E394" s="19" t="inlineStr">
        <is>
          <t>Income Tax Details</t>
        </is>
      </c>
    </row>
    <row r="395" ht="18" customHeight="1">
      <c r="B395" s="20" t="inlineStr">
        <is>
          <t>PAN</t>
        </is>
      </c>
      <c r="C395" s="21" t="inlineStr">
        <is>
          <t>BDEPM4567W</t>
        </is>
      </c>
      <c r="E395" s="20" t="inlineStr">
        <is>
          <t>PAN</t>
        </is>
      </c>
      <c r="F395" s="21" t="inlineStr">
        <is>
          <t>BDEPM4567W</t>
        </is>
      </c>
    </row>
    <row r="396" ht="18" customHeight="1">
      <c r="B396" s="20" t="inlineStr">
        <is>
          <t>Name as per PAN</t>
        </is>
      </c>
      <c r="C396" s="21" t="inlineStr">
        <is>
          <t>Magadh Dairy Products</t>
        </is>
      </c>
      <c r="E396" s="20" t="inlineStr">
        <is>
          <t>Assessee Name</t>
        </is>
      </c>
      <c r="F396" s="21" t="inlineStr">
        <is>
          <t>Magadh Dairy Products</t>
        </is>
      </c>
    </row>
    <row r="397" ht="18" customHeight="1">
      <c r="B397" s="20" t="inlineStr">
        <is>
          <t>PAN Holder Type</t>
        </is>
      </c>
      <c r="C397" s="21" t="inlineStr">
        <is>
          <t>Individual / Proprietorship</t>
        </is>
      </c>
      <c r="E397" s="20" t="inlineStr">
        <is>
          <t>Assessment Year</t>
        </is>
      </c>
      <c r="F397" s="21" t="inlineStr">
        <is>
          <t>2025–26</t>
        </is>
      </c>
    </row>
    <row r="398" ht="18" customHeight="1">
      <c r="B398" s="20" t="inlineStr">
        <is>
          <t>Date of Incorporation</t>
        </is>
      </c>
      <c r="C398" s="21" t="inlineStr">
        <is>
          <t>17/02/2019</t>
        </is>
      </c>
      <c r="E398" s="20" t="inlineStr">
        <is>
          <t>Previous Year</t>
        </is>
      </c>
      <c r="F398" s="21" t="inlineStr">
        <is>
          <t>2024–25</t>
        </is>
      </c>
    </row>
    <row r="399" ht="18" customHeight="1">
      <c r="B399" s="20" t="inlineStr">
        <is>
          <t>Address</t>
        </is>
      </c>
      <c r="C399" s="21" t="inlineStr">
        <is>
          <t>Fatuha Industrial Area, Patna, Bihar – 803201</t>
        </is>
      </c>
      <c r="E399" s="20" t="inlineStr">
        <is>
          <t>Return Form</t>
        </is>
      </c>
      <c r="F399" s="21" t="inlineStr">
        <is>
          <t>ITR-3</t>
        </is>
      </c>
    </row>
    <row r="400" ht="18" customHeight="1">
      <c r="B400" s="20" t="inlineStr">
        <is>
          <t>State</t>
        </is>
      </c>
      <c r="C400" s="21" t="inlineStr">
        <is>
          <t>Bihar</t>
        </is>
      </c>
      <c r="E400" s="20" t="inlineStr">
        <is>
          <t>Nature of Entity</t>
        </is>
      </c>
      <c r="F400" s="21" t="inlineStr">
        <is>
          <t>Individual / HUF</t>
        </is>
      </c>
    </row>
    <row r="401" ht="18" customHeight="1">
      <c r="B401" s="20" t="inlineStr">
        <is>
          <t>Country</t>
        </is>
      </c>
      <c r="C401" s="21" t="inlineStr">
        <is>
          <t>India</t>
        </is>
      </c>
      <c r="E401" s="20" t="inlineStr">
        <is>
          <t>Nature of Business</t>
        </is>
      </c>
      <c r="F401" s="21" t="inlineStr">
        <is>
          <t>Manufacture of Liquid Milk, Cream, Butter, Paneer</t>
        </is>
      </c>
    </row>
    <row r="402" ht="18" customHeight="1">
      <c r="B402" s="22" t="n"/>
      <c r="C402" s="22" t="n"/>
      <c r="E402" s="20" t="inlineStr">
        <is>
          <t>Business Code</t>
        </is>
      </c>
      <c r="F402" s="21" t="inlineStr">
        <is>
          <t>10501</t>
        </is>
      </c>
    </row>
    <row r="403" ht="18" customHeight="1">
      <c r="B403" s="22" t="n"/>
      <c r="C403" s="22" t="n"/>
      <c r="E403" s="20" t="inlineStr">
        <is>
          <t>Gross Total Income</t>
        </is>
      </c>
      <c r="F403" s="21" t="inlineStr">
        <is>
          <t>₹4,450,000</t>
        </is>
      </c>
    </row>
    <row r="404" ht="18" customHeight="1">
      <c r="B404" s="22" t="n"/>
      <c r="C404" s="22" t="n"/>
      <c r="E404" s="20" t="inlineStr">
        <is>
          <t>Total Income</t>
        </is>
      </c>
      <c r="F404" s="21" t="inlineStr">
        <is>
          <t>₹4,100,000</t>
        </is>
      </c>
    </row>
    <row r="405" ht="18" customHeight="1">
      <c r="B405" s="22" t="n"/>
      <c r="C405" s="22" t="n"/>
      <c r="E405" s="20" t="inlineStr">
        <is>
          <t>Taxable Income</t>
        </is>
      </c>
      <c r="F405" s="21" t="inlineStr">
        <is>
          <t>₹4,100,000</t>
        </is>
      </c>
    </row>
    <row r="406" ht="18" customHeight="1">
      <c r="B406" s="22" t="n"/>
      <c r="C406" s="22" t="n"/>
      <c r="E406" s="20" t="inlineStr">
        <is>
          <t>Income Tax</t>
        </is>
      </c>
      <c r="F406" s="21" t="inlineStr">
        <is>
          <t>₹1,230,000</t>
        </is>
      </c>
    </row>
    <row r="407" ht="18" customHeight="1">
      <c r="B407" s="22" t="n"/>
      <c r="C407" s="22" t="n"/>
      <c r="E407" s="20" t="inlineStr">
        <is>
          <t>Health &amp; Education Cess</t>
        </is>
      </c>
      <c r="F407" s="21" t="inlineStr">
        <is>
          <t>₹49,200</t>
        </is>
      </c>
    </row>
    <row r="408" ht="18" customHeight="1">
      <c r="B408" s="22" t="n"/>
      <c r="C408" s="22" t="n"/>
      <c r="E408" s="20" t="inlineStr">
        <is>
          <t>Total Tax Liability</t>
        </is>
      </c>
      <c r="F408" s="21" t="inlineStr">
        <is>
          <t>₹1,279,200</t>
        </is>
      </c>
    </row>
    <row r="409" ht="18" customHeight="1">
      <c r="B409" s="22" t="n"/>
      <c r="C409" s="22" t="n"/>
      <c r="E409" s="20" t="inlineStr">
        <is>
          <t>TDS/TCS Credit</t>
        </is>
      </c>
      <c r="F409" s="21" t="inlineStr">
        <is>
          <t>₹90,000</t>
        </is>
      </c>
    </row>
    <row r="410" ht="18" customHeight="1">
      <c r="B410" s="22" t="n"/>
      <c r="C410" s="22" t="n"/>
      <c r="E410" s="20" t="inlineStr">
        <is>
          <t>Advance Tax Paid</t>
        </is>
      </c>
      <c r="F410" s="21" t="inlineStr">
        <is>
          <t>₹1,120,000</t>
        </is>
      </c>
    </row>
    <row r="411" ht="18" customHeight="1">
      <c r="B411" s="22" t="n"/>
      <c r="C411" s="22" t="n"/>
      <c r="E411" s="20" t="inlineStr">
        <is>
          <t>Self-Assessment Tax</t>
        </is>
      </c>
      <c r="F411" s="21" t="inlineStr">
        <is>
          <t>₹69,200</t>
        </is>
      </c>
    </row>
    <row r="412" ht="18" customHeight="1">
      <c r="B412" s="22" t="n"/>
      <c r="C412" s="22" t="n"/>
      <c r="E412" s="20" t="inlineStr">
        <is>
          <t>Return Filing Date</t>
        </is>
      </c>
      <c r="F412" s="21" t="inlineStr">
        <is>
          <t>14/10/2025</t>
        </is>
      </c>
    </row>
    <row r="413" ht="18" customHeight="1">
      <c r="B413" s="22" t="n"/>
      <c r="C413" s="22" t="n"/>
      <c r="E413" s="20" t="inlineStr">
        <is>
          <t>Authorized Signatory</t>
        </is>
      </c>
      <c r="F413" s="21" t="inlineStr">
        <is>
          <t>Manoj Kumar Yadav</t>
        </is>
      </c>
    </row>
    <row r="414" ht="18" customHeight="1">
      <c r="B414" s="22" t="n"/>
      <c r="C414" s="22" t="n"/>
      <c r="E414" s="20" t="inlineStr">
        <is>
          <t>Designation</t>
        </is>
      </c>
      <c r="F414" s="21" t="inlineStr">
        <is>
          <t>Proprietor</t>
        </is>
      </c>
    </row>
    <row r="416" ht="24" customHeight="1">
      <c r="B416" s="17" t="inlineStr">
        <is>
          <t>MOCK DATA SET 19: CHOTANAGPUR REFRACTORIES PVT LTD (AABCC3456X)</t>
        </is>
      </c>
    </row>
    <row r="417" ht="20" customHeight="1">
      <c r="B417" s="18" t="inlineStr">
        <is>
          <t>PAN Details</t>
        </is>
      </c>
      <c r="E417" s="19" t="inlineStr">
        <is>
          <t>Income Tax Details</t>
        </is>
      </c>
    </row>
    <row r="418" ht="18" customHeight="1">
      <c r="B418" s="20" t="inlineStr">
        <is>
          <t>PAN</t>
        </is>
      </c>
      <c r="C418" s="21" t="inlineStr">
        <is>
          <t>AABCC3456X</t>
        </is>
      </c>
      <c r="E418" s="20" t="inlineStr">
        <is>
          <t>PAN</t>
        </is>
      </c>
      <c r="F418" s="21" t="inlineStr">
        <is>
          <t>AABCC3456X</t>
        </is>
      </c>
    </row>
    <row r="419" ht="18" customHeight="1">
      <c r="B419" s="20" t="inlineStr">
        <is>
          <t>Name as per PAN</t>
        </is>
      </c>
      <c r="C419" s="21" t="inlineStr">
        <is>
          <t>Chotanagpur Refractories Pvt Ltd</t>
        </is>
      </c>
      <c r="E419" s="20" t="inlineStr">
        <is>
          <t>Assessee Name</t>
        </is>
      </c>
      <c r="F419" s="21" t="inlineStr">
        <is>
          <t>Chotanagpur Refractories Pvt Ltd</t>
        </is>
      </c>
    </row>
    <row r="420" ht="18" customHeight="1">
      <c r="B420" s="20" t="inlineStr">
        <is>
          <t>PAN Holder Type</t>
        </is>
      </c>
      <c r="C420" s="21" t="inlineStr">
        <is>
          <t>Company</t>
        </is>
      </c>
      <c r="E420" s="20" t="inlineStr">
        <is>
          <t>Assessment Year</t>
        </is>
      </c>
      <c r="F420" s="21" t="inlineStr">
        <is>
          <t>2025–26</t>
        </is>
      </c>
    </row>
    <row r="421" ht="18" customHeight="1">
      <c r="B421" s="20" t="inlineStr">
        <is>
          <t>Date of Incorporation</t>
        </is>
      </c>
      <c r="C421" s="21" t="inlineStr">
        <is>
          <t>20/11/2015</t>
        </is>
      </c>
      <c r="E421" s="20" t="inlineStr">
        <is>
          <t>Previous Year</t>
        </is>
      </c>
      <c r="F421" s="21" t="inlineStr">
        <is>
          <t>2024–25</t>
        </is>
      </c>
    </row>
    <row r="422" ht="18" customHeight="1">
      <c r="B422" s="20" t="inlineStr">
        <is>
          <t>Address</t>
        </is>
      </c>
      <c r="C422" s="21" t="inlineStr">
        <is>
          <t>Tupudana Industrial Area, Hatia, Ranchi, Jharkhand – 834003</t>
        </is>
      </c>
      <c r="E422" s="20" t="inlineStr">
        <is>
          <t>Return Form</t>
        </is>
      </c>
      <c r="F422" s="21" t="inlineStr">
        <is>
          <t>ITR-6</t>
        </is>
      </c>
    </row>
    <row r="423" ht="18" customHeight="1">
      <c r="B423" s="20" t="inlineStr">
        <is>
          <t>State</t>
        </is>
      </c>
      <c r="C423" s="21" t="inlineStr">
        <is>
          <t>Jharkhand</t>
        </is>
      </c>
      <c r="E423" s="20" t="inlineStr">
        <is>
          <t>Nature of Entity</t>
        </is>
      </c>
      <c r="F423" s="21" t="inlineStr">
        <is>
          <t>Domestic Company</t>
        </is>
      </c>
    </row>
    <row r="424" ht="18" customHeight="1">
      <c r="B424" s="20" t="inlineStr">
        <is>
          <t>Country</t>
        </is>
      </c>
      <c r="C424" s="21" t="inlineStr">
        <is>
          <t>India</t>
        </is>
      </c>
      <c r="E424" s="20" t="inlineStr">
        <is>
          <t>Nature of Business</t>
        </is>
      </c>
      <c r="F424" s="21" t="inlineStr">
        <is>
          <t>Manufacture of Refractory Products</t>
        </is>
      </c>
    </row>
    <row r="425" ht="18" customHeight="1">
      <c r="B425" s="22" t="n"/>
      <c r="C425" s="22" t="n"/>
      <c r="E425" s="20" t="inlineStr">
        <is>
          <t>Business Code</t>
        </is>
      </c>
      <c r="F425" s="21" t="inlineStr">
        <is>
          <t>23910</t>
        </is>
      </c>
    </row>
    <row r="426" ht="18" customHeight="1">
      <c r="B426" s="22" t="n"/>
      <c r="C426" s="22" t="n"/>
      <c r="E426" s="20" t="inlineStr">
        <is>
          <t>Gross Total Income</t>
        </is>
      </c>
      <c r="F426" s="21" t="inlineStr">
        <is>
          <t>₹660,000,000</t>
        </is>
      </c>
    </row>
    <row r="427" ht="18" customHeight="1">
      <c r="B427" s="22" t="n"/>
      <c r="C427" s="22" t="n"/>
      <c r="E427" s="20" t="inlineStr">
        <is>
          <t>Total Income</t>
        </is>
      </c>
      <c r="F427" s="21" t="inlineStr">
        <is>
          <t>₹625,000,000</t>
        </is>
      </c>
    </row>
    <row r="428" ht="18" customHeight="1">
      <c r="B428" s="22" t="n"/>
      <c r="C428" s="22" t="n"/>
      <c r="E428" s="20" t="inlineStr">
        <is>
          <t>Taxable Income</t>
        </is>
      </c>
      <c r="F428" s="21" t="inlineStr">
        <is>
          <t>₹625,000,000</t>
        </is>
      </c>
    </row>
    <row r="429" ht="18" customHeight="1">
      <c r="B429" s="22" t="n"/>
      <c r="C429" s="22" t="n"/>
      <c r="E429" s="20" t="inlineStr">
        <is>
          <t>Income Tax</t>
        </is>
      </c>
      <c r="F429" s="21" t="inlineStr">
        <is>
          <t>₹156,250,000</t>
        </is>
      </c>
    </row>
    <row r="430" ht="18" customHeight="1">
      <c r="B430" s="22" t="n"/>
      <c r="C430" s="22" t="n"/>
      <c r="E430" s="20" t="inlineStr">
        <is>
          <t>Health &amp; Education Cess</t>
        </is>
      </c>
      <c r="F430" s="21" t="inlineStr">
        <is>
          <t>₹6,250,000</t>
        </is>
      </c>
    </row>
    <row r="431" ht="18" customHeight="1">
      <c r="B431" s="22" t="n"/>
      <c r="C431" s="22" t="n"/>
      <c r="E431" s="20" t="inlineStr">
        <is>
          <t>Total Tax Liability</t>
        </is>
      </c>
      <c r="F431" s="21" t="inlineStr">
        <is>
          <t>₹162,500,000</t>
        </is>
      </c>
    </row>
    <row r="432" ht="18" customHeight="1">
      <c r="B432" s="22" t="n"/>
      <c r="C432" s="22" t="n"/>
      <c r="E432" s="20" t="inlineStr">
        <is>
          <t>TDS/TCS Credit</t>
        </is>
      </c>
      <c r="F432" s="21" t="inlineStr">
        <is>
          <t>₹11,500,000</t>
        </is>
      </c>
    </row>
    <row r="433" ht="18" customHeight="1">
      <c r="B433" s="22" t="n"/>
      <c r="C433" s="22" t="n"/>
      <c r="E433" s="20" t="inlineStr">
        <is>
          <t>Advance Tax Paid</t>
        </is>
      </c>
      <c r="F433" s="21" t="inlineStr">
        <is>
          <t>₹140,000,000</t>
        </is>
      </c>
    </row>
    <row r="434" ht="18" customHeight="1">
      <c r="B434" s="22" t="n"/>
      <c r="C434" s="22" t="n"/>
      <c r="E434" s="20" t="inlineStr">
        <is>
          <t>Self-Assessment Tax</t>
        </is>
      </c>
      <c r="F434" s="21" t="inlineStr">
        <is>
          <t>₹11,000,000</t>
        </is>
      </c>
    </row>
    <row r="435" ht="18" customHeight="1">
      <c r="B435" s="22" t="n"/>
      <c r="C435" s="22" t="n"/>
      <c r="E435" s="20" t="inlineStr">
        <is>
          <t>Return Filing Date</t>
        </is>
      </c>
      <c r="F435" s="21" t="inlineStr">
        <is>
          <t>30/09/2025</t>
        </is>
      </c>
    </row>
    <row r="436" ht="18" customHeight="1">
      <c r="B436" s="22" t="n"/>
      <c r="C436" s="22" t="n"/>
      <c r="E436" s="20" t="inlineStr">
        <is>
          <t>Authorized Signatory</t>
        </is>
      </c>
      <c r="F436" s="21" t="inlineStr">
        <is>
          <t>Sanjay Banerjee</t>
        </is>
      </c>
    </row>
    <row r="437" ht="18" customHeight="1">
      <c r="B437" s="22" t="n"/>
      <c r="C437" s="22" t="n"/>
      <c r="E437" s="20" t="inlineStr">
        <is>
          <t>Designation</t>
        </is>
      </c>
      <c r="F437" s="21" t="inlineStr">
        <is>
          <t>Director</t>
        </is>
      </c>
    </row>
    <row r="439" ht="24" customHeight="1">
      <c r="B439" s="17" t="inlineStr">
        <is>
          <t>MOCK DATA SET 20: PRAGJYOTISH TEA PACKAGING LLP (AABFP8901Y)</t>
        </is>
      </c>
    </row>
    <row r="440" ht="20" customHeight="1">
      <c r="B440" s="18" t="inlineStr">
        <is>
          <t>PAN Details</t>
        </is>
      </c>
      <c r="E440" s="19" t="inlineStr">
        <is>
          <t>Income Tax Details</t>
        </is>
      </c>
    </row>
    <row r="441" ht="18" customHeight="1">
      <c r="B441" s="20" t="inlineStr">
        <is>
          <t>PAN</t>
        </is>
      </c>
      <c r="C441" s="21" t="inlineStr">
        <is>
          <t>AABFP8901Y</t>
        </is>
      </c>
      <c r="E441" s="20" t="inlineStr">
        <is>
          <t>PAN</t>
        </is>
      </c>
      <c r="F441" s="21" t="inlineStr">
        <is>
          <t>AABFP8901Y</t>
        </is>
      </c>
    </row>
    <row r="442" ht="18" customHeight="1">
      <c r="B442" s="20" t="inlineStr">
        <is>
          <t>Name as per PAN</t>
        </is>
      </c>
      <c r="C442" s="21" t="inlineStr">
        <is>
          <t>Pragjyotish Tea Packaging LLP</t>
        </is>
      </c>
      <c r="E442" s="20" t="inlineStr">
        <is>
          <t>Assessee Name</t>
        </is>
      </c>
      <c r="F442" s="21" t="inlineStr">
        <is>
          <t>Pragjyotish Tea Packaging LLP</t>
        </is>
      </c>
    </row>
    <row r="443" ht="18" customHeight="1">
      <c r="B443" s="20" t="inlineStr">
        <is>
          <t>PAN Holder Type</t>
        </is>
      </c>
      <c r="C443" s="21" t="inlineStr">
        <is>
          <t>Limited Liability Partnership</t>
        </is>
      </c>
      <c r="E443" s="20" t="inlineStr">
        <is>
          <t>Assessment Year</t>
        </is>
      </c>
      <c r="F443" s="21" t="inlineStr">
        <is>
          <t>2025–26</t>
        </is>
      </c>
    </row>
    <row r="444" ht="18" customHeight="1">
      <c r="B444" s="20" t="inlineStr">
        <is>
          <t>Date of Incorporation</t>
        </is>
      </c>
      <c r="C444" s="21" t="inlineStr">
        <is>
          <t>05/05/2017</t>
        </is>
      </c>
      <c r="E444" s="20" t="inlineStr">
        <is>
          <t>Previous Year</t>
        </is>
      </c>
      <c r="F444" s="21" t="inlineStr">
        <is>
          <t>2024–25</t>
        </is>
      </c>
    </row>
    <row r="445" ht="18" customHeight="1">
      <c r="B445" s="20" t="inlineStr">
        <is>
          <t>Address</t>
        </is>
      </c>
      <c r="C445" s="21" t="inlineStr">
        <is>
          <t>AIDC Complex, Amingaon, Guwahati, Assam – 781031</t>
        </is>
      </c>
      <c r="E445" s="20" t="inlineStr">
        <is>
          <t>Return Form</t>
        </is>
      </c>
      <c r="F445" s="21" t="inlineStr">
        <is>
          <t>ITR-5</t>
        </is>
      </c>
    </row>
    <row r="446" ht="18" customHeight="1">
      <c r="B446" s="20" t="inlineStr">
        <is>
          <t>State</t>
        </is>
      </c>
      <c r="C446" s="21" t="inlineStr">
        <is>
          <t>Assam</t>
        </is>
      </c>
      <c r="E446" s="20" t="inlineStr">
        <is>
          <t>Nature of Entity</t>
        </is>
      </c>
      <c r="F446" s="21" t="inlineStr">
        <is>
          <t>LLP / Firm</t>
        </is>
      </c>
    </row>
    <row r="447" ht="18" customHeight="1">
      <c r="B447" s="20" t="inlineStr">
        <is>
          <t>Country</t>
        </is>
      </c>
      <c r="C447" s="21" t="inlineStr">
        <is>
          <t>India</t>
        </is>
      </c>
      <c r="E447" s="20" t="inlineStr">
        <is>
          <t>Nature of Business</t>
        </is>
      </c>
      <c r="F447" s="21" t="inlineStr">
        <is>
          <t>Tea Processing, Blending &amp; Packaging</t>
        </is>
      </c>
    </row>
    <row r="448" ht="18" customHeight="1">
      <c r="B448" s="22" t="n"/>
      <c r="C448" s="22" t="n"/>
      <c r="E448" s="20" t="inlineStr">
        <is>
          <t>Business Code</t>
        </is>
      </c>
      <c r="F448" s="21" t="inlineStr">
        <is>
          <t>10792</t>
        </is>
      </c>
    </row>
    <row r="449" ht="18" customHeight="1">
      <c r="B449" s="22" t="n"/>
      <c r="C449" s="22" t="n"/>
      <c r="E449" s="20" t="inlineStr">
        <is>
          <t>Gross Total Income</t>
        </is>
      </c>
      <c r="F449" s="21" t="inlineStr">
        <is>
          <t>₹160,000,000</t>
        </is>
      </c>
    </row>
    <row r="450" ht="18" customHeight="1">
      <c r="B450" s="22" t="n"/>
      <c r="C450" s="22" t="n"/>
      <c r="E450" s="20" t="inlineStr">
        <is>
          <t>Total Income</t>
        </is>
      </c>
      <c r="F450" s="21" t="inlineStr">
        <is>
          <t>₹152,000,000</t>
        </is>
      </c>
    </row>
    <row r="451" ht="18" customHeight="1">
      <c r="B451" s="22" t="n"/>
      <c r="C451" s="22" t="n"/>
      <c r="E451" s="20" t="inlineStr">
        <is>
          <t>Taxable Income</t>
        </is>
      </c>
      <c r="F451" s="21" t="inlineStr">
        <is>
          <t>₹152,000,000</t>
        </is>
      </c>
    </row>
    <row r="452" ht="18" customHeight="1">
      <c r="B452" s="22" t="n"/>
      <c r="C452" s="22" t="n"/>
      <c r="E452" s="20" t="inlineStr">
        <is>
          <t>Income Tax</t>
        </is>
      </c>
      <c r="F452" s="21" t="inlineStr">
        <is>
          <t>₹45,600,000</t>
        </is>
      </c>
    </row>
    <row r="453" ht="18" customHeight="1">
      <c r="B453" s="22" t="n"/>
      <c r="C453" s="22" t="n"/>
      <c r="E453" s="20" t="inlineStr">
        <is>
          <t>Health &amp; Education Cess</t>
        </is>
      </c>
      <c r="F453" s="21" t="inlineStr">
        <is>
          <t>₹1,824,000</t>
        </is>
      </c>
    </row>
    <row r="454" ht="18" customHeight="1">
      <c r="B454" s="22" t="n"/>
      <c r="C454" s="22" t="n"/>
      <c r="E454" s="20" t="inlineStr">
        <is>
          <t>Total Tax Liability</t>
        </is>
      </c>
      <c r="F454" s="21" t="inlineStr">
        <is>
          <t>₹47,424,000</t>
        </is>
      </c>
    </row>
    <row r="455" ht="18" customHeight="1">
      <c r="B455" s="22" t="n"/>
      <c r="C455" s="22" t="n"/>
      <c r="E455" s="20" t="inlineStr">
        <is>
          <t>TDS/TCS Credit</t>
        </is>
      </c>
      <c r="F455" s="21" t="inlineStr">
        <is>
          <t>₹3,400,000</t>
        </is>
      </c>
    </row>
    <row r="456" ht="18" customHeight="1">
      <c r="B456" s="22" t="n"/>
      <c r="C456" s="22" t="n"/>
      <c r="E456" s="20" t="inlineStr">
        <is>
          <t>Advance Tax Paid</t>
        </is>
      </c>
      <c r="F456" s="21" t="inlineStr">
        <is>
          <t>₹42,000,000</t>
        </is>
      </c>
    </row>
    <row r="457" ht="18" customHeight="1">
      <c r="B457" s="22" t="n"/>
      <c r="C457" s="22" t="n"/>
      <c r="E457" s="20" t="inlineStr">
        <is>
          <t>Self-Assessment Tax</t>
        </is>
      </c>
      <c r="F457" s="21" t="inlineStr">
        <is>
          <t>₹2,024,000</t>
        </is>
      </c>
    </row>
    <row r="458" ht="18" customHeight="1">
      <c r="B458" s="22" t="n"/>
      <c r="C458" s="22" t="n"/>
      <c r="E458" s="20" t="inlineStr">
        <is>
          <t>Return Filing Date</t>
        </is>
      </c>
      <c r="F458" s="21" t="inlineStr">
        <is>
          <t>23/10/2025</t>
        </is>
      </c>
    </row>
    <row r="459" ht="18" customHeight="1">
      <c r="B459" s="22" t="n"/>
      <c r="C459" s="22" t="n"/>
      <c r="E459" s="20" t="inlineStr">
        <is>
          <t>Authorized Signatory</t>
        </is>
      </c>
      <c r="F459" s="21" t="inlineStr">
        <is>
          <t>Pranab Barua</t>
        </is>
      </c>
    </row>
    <row r="460" ht="18" customHeight="1">
      <c r="B460" s="22" t="n"/>
      <c r="C460" s="22" t="n"/>
      <c r="E460" s="20" t="inlineStr">
        <is>
          <t>Designation</t>
        </is>
      </c>
      <c r="F460" s="21" t="inlineStr">
        <is>
          <t>Designated Partner</t>
        </is>
      </c>
    </row>
  </sheetData>
  <mergeCells count="60">
    <mergeCell ref="B302:C302"/>
    <mergeCell ref="B233:C233"/>
    <mergeCell ref="E210:F210"/>
    <mergeCell ref="B72:C72"/>
    <mergeCell ref="B3:C3"/>
    <mergeCell ref="B209:F209"/>
    <mergeCell ref="B25:F25"/>
    <mergeCell ref="B232:F232"/>
    <mergeCell ref="B416:F416"/>
    <mergeCell ref="B141:C141"/>
    <mergeCell ref="B370:F370"/>
    <mergeCell ref="B301:F301"/>
    <mergeCell ref="B439:F439"/>
    <mergeCell ref="E440:F440"/>
    <mergeCell ref="B140:F140"/>
    <mergeCell ref="B71:F71"/>
    <mergeCell ref="E141:F141"/>
    <mergeCell ref="E417:F417"/>
    <mergeCell ref="B347:F347"/>
    <mergeCell ref="B210:C210"/>
    <mergeCell ref="E371:F371"/>
    <mergeCell ref="B2:F2"/>
    <mergeCell ref="B48:F48"/>
    <mergeCell ref="B117:F117"/>
    <mergeCell ref="B278:F278"/>
    <mergeCell ref="B440:C440"/>
    <mergeCell ref="E279:F279"/>
    <mergeCell ref="E118:F118"/>
    <mergeCell ref="B371:C371"/>
    <mergeCell ref="B417:C417"/>
    <mergeCell ref="B348:C348"/>
    <mergeCell ref="E49:F49"/>
    <mergeCell ref="E95:F95"/>
    <mergeCell ref="B279:C279"/>
    <mergeCell ref="B186:F186"/>
    <mergeCell ref="E325:F325"/>
    <mergeCell ref="B255:F255"/>
    <mergeCell ref="B118:C118"/>
    <mergeCell ref="E26:F26"/>
    <mergeCell ref="B49:C49"/>
    <mergeCell ref="B187:C187"/>
    <mergeCell ref="E394:F394"/>
    <mergeCell ref="B394:C394"/>
    <mergeCell ref="E256:F256"/>
    <mergeCell ref="E187:F187"/>
    <mergeCell ref="E72:F72"/>
    <mergeCell ref="B164:C164"/>
    <mergeCell ref="B95:C95"/>
    <mergeCell ref="B393:F393"/>
    <mergeCell ref="E164:F164"/>
    <mergeCell ref="B94:F94"/>
    <mergeCell ref="B256:C256"/>
    <mergeCell ref="B325:C325"/>
    <mergeCell ref="E348:F348"/>
    <mergeCell ref="E302:F302"/>
    <mergeCell ref="B26:C26"/>
    <mergeCell ref="E233:F233"/>
    <mergeCell ref="B163:F163"/>
    <mergeCell ref="E3:F3"/>
    <mergeCell ref="B324:F3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2026-08-27T06:09:14Z</dcterms:created>
  <dcterms:modified xmlns:dcterms="http://purl.org/dc/terms/" xmlns:xsi="http://www.w3.org/2001/XMLSchema-instance" xsi:type="dcterms:W3CDTF">2026-08-27T06:09:14Z</dcterms:modified>
</cp:coreProperties>
</file>